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Tipologias" sheetId="2" r:id="rId5"/>
    <sheet state="visible" name="Unidades" sheetId="3" r:id="rId6"/>
    <sheet state="visible" name="Datos_Landmass" sheetId="4" r:id="rId7"/>
    <sheet state="visible" name="Supuestos" sheetId="5" r:id="rId8"/>
  </sheets>
  <definedNames/>
  <calcPr/>
  <extLst>
    <ext uri="GoogleSheetsCustomDataVersion2">
      <go:sheetsCustomData xmlns:go="http://customooxmlschemas.google.com/" r:id="rId9" roundtripDataChecksum="djhshjqRb/7xr7Jm74cVIw5GSjoKxo2Rzm/LN/XGksU="/>
    </ext>
  </extLst>
</workbook>
</file>

<file path=xl/sharedStrings.xml><?xml version="1.0" encoding="utf-8"?>
<sst xmlns="http://schemas.openxmlformats.org/spreadsheetml/2006/main" count="1707" uniqueCount="703">
  <si>
    <t>DATOS</t>
  </si>
  <si>
    <t>BAHÍA MAR · Boutique Residence</t>
  </si>
  <si>
    <t>LISTADO DE UNIDADES — carga Urbatrix  (m², hab, baños y $/m² se traen solos desde 'Tipologias')</t>
  </si>
  <si>
    <t>DATOS COMERCIALES Y FINANCIEROS — LANDMASS  (no es para el arquitecto)</t>
  </si>
  <si>
    <t>Concepto</t>
  </si>
  <si>
    <t>Las Terrenas, Samaná — República Dominicana</t>
  </si>
  <si>
    <t>Valor</t>
  </si>
  <si>
    <t>Unidad</t>
  </si>
  <si>
    <t>Quién aporta</t>
  </si>
  <si>
    <t>N° / Nombre
unidad</t>
  </si>
  <si>
    <t>Notas / estado</t>
  </si>
  <si>
    <t>FICHA DE LEVANTAMIENTO DE DATOS — Arquitectura · Producto · Precios   |   Uso interno · Landmass Capital, S.R.L.</t>
  </si>
  <si>
    <t>1 · COMERCIAL</t>
  </si>
  <si>
    <t>Código
tipología</t>
  </si>
  <si>
    <t>Etapa /
Fase</t>
  </si>
  <si>
    <t>Nivel</t>
  </si>
  <si>
    <t>IDENTIFICACIÓN</t>
  </si>
  <si>
    <t>Vista</t>
  </si>
  <si>
    <t>PARA QUÉ SIRVE ESTE ARCHIVO</t>
  </si>
  <si>
    <t>Hab.</t>
  </si>
  <si>
    <t>Moneda base</t>
  </si>
  <si>
    <t>Baños</t>
  </si>
  <si>
    <t>m² Interior</t>
  </si>
  <si>
    <t>PROGRAMA</t>
  </si>
  <si>
    <t>USD</t>
  </si>
  <si>
    <t>m² Terraza</t>
  </si>
  <si>
    <t>m² Total
privativo</t>
  </si>
  <si>
    <t>Recoge, de forma ordenada, TODOS los datos que necesitamos del arquitecto y de Landmass para fijar metrajes y precios de venta de Bahía Mar y cargarlos en Urbatrix. El arquitecto completa los m² y el mix; con eso el modelo calcula áreas vendibles y eficiencia, y luego Landmass coloca los precios finales.</t>
  </si>
  <si>
    <t>Estatus</t>
  </si>
  <si>
    <t>ÁREAS — ARQUITECTO (m²)</t>
  </si>
  <si>
    <t>Lista
precio</t>
  </si>
  <si>
    <t>Landmass</t>
  </si>
  <si>
    <t>CÓMO USARLO</t>
  </si>
  <si>
    <t>$/m²</t>
  </si>
  <si>
    <t>Precio
venta</t>
  </si>
  <si>
    <t>Urbatrix puede mostrar EUR/CAD/MXN como conversión.</t>
  </si>
  <si>
    <t>Reserva</t>
  </si>
  <si>
    <t>CALCULADO</t>
  </si>
  <si>
    <t>Broker
asignado</t>
  </si>
  <si>
    <t>1) El arquitecto llena las celdas ROSA en la hoja 'Tipologias' (un renglón por tipo de villa) y, si lo tiene, el detalle unidad por unidad en 'Unidades'.</t>
  </si>
  <si>
    <t>Notas</t>
  </si>
  <si>
    <t>Tasa de cambio USD/DOP</t>
  </si>
  <si>
    <t>2) Las celdas GRISES se calculan solas (m² privativo total, eficiencia arquitectónica, totales). No se editan.</t>
  </si>
  <si>
    <t>A-001</t>
  </si>
  <si>
    <t>DOP/USD</t>
  </si>
  <si>
    <t>3) Landmass completa las celdas AMARILLAS de 'Datos_Landmass' (tierra, costos, deuda, comisiones, objetivo).</t>
  </si>
  <si>
    <t>PRECIOS — LANDMASS (paso final)</t>
  </si>
  <si>
    <t>4) Como paso FINAL, se llenan las columnas de precio (AMARILLAS) y el archivo arroja precio por unidad y Gross Sell-Out.</t>
  </si>
  <si>
    <t>(estándar de mercado a confirmar) — solo si se vende en DOP.</t>
  </si>
  <si>
    <t>Reserva por unidad</t>
  </si>
  <si>
    <t>RESPONSABLE POR HOJA</t>
  </si>
  <si>
    <t>T1</t>
  </si>
  <si>
    <t>Fase 4</t>
  </si>
  <si>
    <t>Código</t>
  </si>
  <si>
    <t>Makai usó US$5,000.</t>
  </si>
  <si>
    <t>¿Reserva reembolsable?</t>
  </si>
  <si>
    <t>Hoja</t>
  </si>
  <si>
    <t>Paisaje / piscina / terrazas / horizonte</t>
  </si>
  <si>
    <t>Nombre tipología (provisional)</t>
  </si>
  <si>
    <t>Quién la llena</t>
  </si>
  <si>
    <t>Uso / descripción</t>
  </si>
  <si>
    <t>Qué entrega</t>
  </si>
  <si>
    <t>N° plantas</t>
  </si>
  <si>
    <t>Sí/No</t>
  </si>
  <si>
    <t>% a la reserva / firma</t>
  </si>
  <si>
    <t>N° unidades</t>
  </si>
  <si>
    <t>Tipologias</t>
  </si>
  <si>
    <t>m² Interior
privativo</t>
  </si>
  <si>
    <t>%</t>
  </si>
  <si>
    <t>Arquitecto</t>
  </si>
  <si>
    <t>m² Roof /
Solárium</t>
  </si>
  <si>
    <t>Cuadro de m² por tipología (interior, terraza, roof, parcela, bruto) y nº de unidades de cada tipo.</t>
  </si>
  <si>
    <t>m² Parcela
exterior</t>
  </si>
  <si>
    <t>% durante construcción</t>
  </si>
  <si>
    <t>m² Piscina</t>
  </si>
  <si>
    <t>m² Picuzzi</t>
  </si>
  <si>
    <t>Unidades</t>
  </si>
  <si>
    <t>Debe sumar 100% con los otros dos.</t>
  </si>
  <si>
    <t>m² Construido
bruto</t>
  </si>
  <si>
    <t>Arquitecto + Comercial</t>
  </si>
  <si>
    <t>m² Privativo
total</t>
  </si>
  <si>
    <t>% contra entrega</t>
  </si>
  <si>
    <t>Listado unidad por unidad (nivel, vista, estatus) listo para cargar en Urbatrix.</t>
  </si>
  <si>
    <t>Eficiencia
arq. (Int/Bruto)</t>
  </si>
  <si>
    <t>m² Interior
totales proy.</t>
  </si>
  <si>
    <t>$/m²
objetivo</t>
  </si>
  <si>
    <t>Datos_Landmass</t>
  </si>
  <si>
    <t>Fernando / Landmass</t>
  </si>
  <si>
    <t>Precio venta
x unidad</t>
  </si>
  <si>
    <t>Delta Lista 0 → Lista 1</t>
  </si>
  <si>
    <t>Condiciones comerciales y financieras: tierra, costos, deuda, comisiones, objetivo.</t>
  </si>
  <si>
    <t>Gross Sell-Out
tipología</t>
  </si>
  <si>
    <t>Adicional</t>
  </si>
  <si>
    <t>Plusvalía al cumplir hito.</t>
  </si>
  <si>
    <t>Supuestos</t>
  </si>
  <si>
    <t>CFO (referencia)</t>
  </si>
  <si>
    <t>Hito que dispara Lista 1</t>
  </si>
  <si>
    <t>Estándares de mercado usados y definiciones de cada indicador.</t>
  </si>
  <si>
    <t>VILLA A</t>
  </si>
  <si>
    <t>texto</t>
  </si>
  <si>
    <t>Villa de mayor programa, con áreas sociales amplias, cava de vinos, dormitorio de huéspedes, zona de servicio, piscina, solárium, fogata, picuzzi y terrazas.</t>
  </si>
  <si>
    <t>LEYENDA DE COLORES</t>
  </si>
  <si>
    <t>Ej.: inicio de excavación.</t>
  </si>
  <si>
    <t>Delta Lista 1 → Lista 2</t>
  </si>
  <si>
    <t>Campo a llenar por el ARQUITECTO</t>
  </si>
  <si>
    <t>Disponible</t>
  </si>
  <si>
    <t>Hito que dispara Lista 2</t>
  </si>
  <si>
    <t>Variable según lote</t>
  </si>
  <si>
    <t>Ej.: obra gris completa.</t>
  </si>
  <si>
    <t>Fecha estimada de entrega</t>
  </si>
  <si>
    <t>Campo a definir por LANDMASS (incluye precios — paso final)</t>
  </si>
  <si>
    <t>fecha</t>
  </si>
  <si>
    <t>Por fase, si aplica.</t>
  </si>
  <si>
    <t>2 · TIERRA</t>
  </si>
  <si>
    <t>Calculado automáticamente — NO editar</t>
  </si>
  <si>
    <t>Modalidad</t>
  </si>
  <si>
    <t>Encabezado de tabla</t>
  </si>
  <si>
    <t>Directa/Ruta B/Mixto</t>
  </si>
  <si>
    <t>PUNTOS ABIERTOS A ACLARAR (detectados en el brochure)</t>
  </si>
  <si>
    <t>Monto de compra (si directa)</t>
  </si>
  <si>
    <t>• El brochure indica 3 tipologías y 40 viviendas; el proyecto ahora maneja 5 tipologías → confirmar mix y total de unidades.</t>
  </si>
  <si>
    <t>• Villa I (Luxury): el resumen dice 160 m² (90+20+50) pero los planos suman ≈220 m² (PB 125,65 + PA 94,93) → definir m² oficiales.</t>
  </si>
  <si>
    <t>• Villa II (Penthouse): 'parcela a partir de 5 m²' parece error de tipeo → confirmar.</t>
  </si>
  <si>
    <t>Ruta B — % cap table al aportante</t>
  </si>
  <si>
    <t>• Faltan los m² de Villa Premium, de la villa insignia ('Villa A') y de la 5.ª tipología.</t>
  </si>
  <si>
    <t>• Parcela total del proyecto: 20.652 m²; zonas comunes: 650 m² (dato del brochure).</t>
  </si>
  <si>
    <t>Versión 1.0 — preparado por la oficina de CFO / Ingeniería Financiera, Landmass Capital. Cifras precargadas = BORRADOR a confirmar.</t>
  </si>
  <si>
    <t>(estándar a confirmar) — propuesta 30%.</t>
  </si>
  <si>
    <t>Área lote: 1004.58 m² | Tipología temporal del plano</t>
  </si>
  <si>
    <t>Ruta B — % flujo neto a CxP socio</t>
  </si>
  <si>
    <t>(estándar a confirmar) — rango 10%–12% por unidad entregada.</t>
  </si>
  <si>
    <t>A-002</t>
  </si>
  <si>
    <t>Valor referencial del terreno</t>
  </si>
  <si>
    <t>Para el cap table / equity.</t>
  </si>
  <si>
    <t>3 · CONSTRUCCIÓN</t>
  </si>
  <si>
    <t>BORRADOR brochure (Villa II Penthouse). Confirmar m² bruto, parcela y nº de unidades.</t>
  </si>
  <si>
    <t>Costo de construcción</t>
  </si>
  <si>
    <t xml:space="preserve">**Incluye 1 baño de servicio independiente, no contabilizado dentro del número de baños principales de la villa.**
</t>
  </si>
  <si>
    <t>USD/m²</t>
  </si>
  <si>
    <t>T2</t>
  </si>
  <si>
    <t>VILLA B</t>
  </si>
  <si>
    <t>Arquitecto/Constructor</t>
  </si>
  <si>
    <t>Villa alargada y más compacta, con área social lineal, dormitorio de huéspedes en primer nivel, dos dormitorios en segundo nivel, piscina, solárium, fogata, picuzzi y terrazas superiores.</t>
  </si>
  <si>
    <t>(estándar a confirmar) — clave para el modelo.</t>
  </si>
  <si>
    <t>Hard Costs (% del costo de obra)</t>
  </si>
  <si>
    <t>Constructor</t>
  </si>
  <si>
    <t>Soft Costs (% del costo de obra)</t>
  </si>
  <si>
    <t>Diseño, permisos, fideicomiso, legal.</t>
  </si>
  <si>
    <t>Contingencia de construcción</t>
  </si>
  <si>
    <t>CFO</t>
  </si>
  <si>
    <t>(estándar a confirmar) — rango 5%–10%.</t>
  </si>
  <si>
    <t>Plazo de obra</t>
  </si>
  <si>
    <t>meses</t>
  </si>
  <si>
    <t>N° de fases</t>
  </si>
  <si>
    <t>Faltan todos los m². Pendiente del arquitecto.</t>
  </si>
  <si>
    <t>#</t>
  </si>
  <si>
    <t>T3</t>
  </si>
  <si>
    <t>4 · FINANCIAMIENTO (DEUDA)</t>
  </si>
  <si>
    <t>VILLA C</t>
  </si>
  <si>
    <t>Villa de un solo nivel, compacta y funcional, con sala, comedor, cocina, dormitorio principal, dormitorio secundario, área de servicio, piscina, solárium, fogata, picuzzi y terraza.</t>
  </si>
  <si>
    <t>¿Préstamo interino?</t>
  </si>
  <si>
    <t>Monto del préstamo</t>
  </si>
  <si>
    <t>Tasa anual</t>
  </si>
  <si>
    <t>Área lote: 1067.40 m² | Tipología temporal del plano</t>
  </si>
  <si>
    <t>Banco</t>
  </si>
  <si>
    <t>(a confirmar)</t>
  </si>
  <si>
    <t>Plazo</t>
  </si>
  <si>
    <t>A-003</t>
  </si>
  <si>
    <t>BORRADOR brochure (160 m²) NO cuadra con planos (~220 m²). Definir m² oficiales.</t>
  </si>
  <si>
    <t>5 · OPEX / COMERCIAL</t>
  </si>
  <si>
    <t>T4</t>
  </si>
  <si>
    <t>VILLA D</t>
  </si>
  <si>
    <t>Comisión de venta (brokers)</t>
  </si>
  <si>
    <t>Villa de un solo nivel, de estilo cálido, rústico y natural, con dos dormitorios, área social integrada, zona BBQ, piscina, solárium, fogata, picuzzi y terrazas.</t>
  </si>
  <si>
    <t>(estándar a confirmar) — rango 4%–6%.</t>
  </si>
  <si>
    <t>Presupuesto de marketing</t>
  </si>
  <si>
    <t>Fee de Desarrollo Landmass</t>
  </si>
  <si>
    <t>Sobre costo o sobre ventas — definir base.</t>
  </si>
  <si>
    <t>6 · INCENTIVOS / OBJETIVO</t>
  </si>
  <si>
    <t>¿Aplica CONFOTUR?</t>
  </si>
  <si>
    <t>Villa insignia (cava, BBQ, fogata, piscina). Faltan m². Confirmar nº de hab/baños.</t>
  </si>
  <si>
    <t>-</t>
  </si>
  <si>
    <t>Validar con asesor fiscal/legal certificado en RD.</t>
  </si>
  <si>
    <t>Margen neto objetivo</t>
  </si>
  <si>
    <t>T5</t>
  </si>
  <si>
    <t>VILLA E</t>
  </si>
  <si>
    <t>Villa de dos niveles, con carácter tropical, cálido y natural. Integra dormitorio de huéspedes en primer nivel, dos dormitorios en segundo nivel, terrazas, piscina, picuzzi, zona BBQ, solárium y fogata.</t>
  </si>
  <si>
    <t>TIR objetivo / hurdle</t>
  </si>
  <si>
    <t>Área lote: 772.20 m² | Tipología temporal del plano</t>
  </si>
  <si>
    <t>Múltiplo de capital objetivo (MoM)</t>
  </si>
  <si>
    <t>x</t>
  </si>
  <si>
    <t>A-004</t>
  </si>
  <si>
    <t>Tasa de descuento (WACC)</t>
  </si>
  <si>
    <t>(estándar a confirmar) — corporativo 12%–15%.</t>
  </si>
  <si>
    <t>Tipología no incluida en el brochure. Definir programa y m².</t>
  </si>
  <si>
    <t>TOTAL</t>
  </si>
  <si>
    <t>Área lote: 794.87 m² | Tipología temporal del plano</t>
  </si>
  <si>
    <t>A-005</t>
  </si>
  <si>
    <t>SUPUESTOS, ESTÁNDARES Y DEFINICIONES</t>
  </si>
  <si>
    <t>A · DATOS FÍSICOS CONFIRMADOS (brochure)</t>
  </si>
  <si>
    <t>Parcela total del proyecto</t>
  </si>
  <si>
    <t>20,652</t>
  </si>
  <si>
    <t>Eficiencia objetivo: 80%–85%</t>
  </si>
  <si>
    <t>m²</t>
  </si>
  <si>
    <t>Brochure Master Plan.</t>
  </si>
  <si>
    <t>Zonas comunes</t>
  </si>
  <si>
    <t>Nota: la 'Eficiencia arq.' = m² interior privativo ÷ m² construido bruto. Objetivo del estándar RE: 80%–85%. Terraza, roof y parcela se valoran aparte en el precio si así se decide.</t>
  </si>
  <si>
    <t>650</t>
  </si>
  <si>
    <t>Total de unidades del brochure = 40 (referencia). Confirmar con el arquitecto el nº por tipología.</t>
  </si>
  <si>
    <t>Ubicación</t>
  </si>
  <si>
    <t>Las Terrenas, Samaná</t>
  </si>
  <si>
    <t>≈60 km de la ciudad de Samaná.</t>
  </si>
  <si>
    <t>Amenidades</t>
  </si>
  <si>
    <t>Piscina, beach club, restaurante, wellness, golf, store</t>
  </si>
  <si>
    <t>Brochure.</t>
  </si>
  <si>
    <t>B · ESTÁNDARES DE MERCADO (a confirmar)</t>
  </si>
  <si>
    <t>Eficiencia arquitectónica objetivo</t>
  </si>
  <si>
    <t>Área lote: 801.89 m² | Tipología temporal del plano</t>
  </si>
  <si>
    <t>80% – 85%</t>
  </si>
  <si>
    <t>Área vendible ÷ área bruta.</t>
  </si>
  <si>
    <t>A-006</t>
  </si>
  <si>
    <t>5% – 10%</t>
  </si>
  <si>
    <t>Sobre hard costs.</t>
  </si>
  <si>
    <t>Comisión de venta</t>
  </si>
  <si>
    <t>4% – 6%</t>
  </si>
  <si>
    <t>Brokers / fuerza de ventas.</t>
  </si>
  <si>
    <t>12% – 15%</t>
  </si>
  <si>
    <t>Estándar corporativo Landmass.</t>
  </si>
  <si>
    <t>Ruta B — cap table al aportante</t>
  </si>
  <si>
    <t>30%</t>
  </si>
  <si>
    <t>Propuesta estándar de la firma.</t>
  </si>
  <si>
    <t>Ruta B — CxP socio</t>
  </si>
  <si>
    <t>10% – 12% del flujo neto</t>
  </si>
  <si>
    <t>Por unidad vendida y entregada.</t>
  </si>
  <si>
    <t>C · DEFINICIONES</t>
  </si>
  <si>
    <t>Eficiencia arquitectónica</t>
  </si>
  <si>
    <t>m² interior privativo (vendible) ÷ m² construido bruto. Cuánto del área construida se traduce en metros vendibles.</t>
  </si>
  <si>
    <t>m² Privativo total</t>
  </si>
  <si>
    <t>Interior + terraza + roof de la unidad. Base sugerida para aplicar el $/m².</t>
  </si>
  <si>
    <t>Gross Sell-Out</t>
  </si>
  <si>
    <t>Suma de los precios de venta de todas las unidades (ingreso bruto potencial del proyecto).</t>
  </si>
  <si>
    <t>Pre-sales ladder</t>
  </si>
  <si>
    <t>Listas escalonadas (0/1/2) cuyo precio sube al cumplir hitos de obra, para capturar plusvalía.</t>
  </si>
  <si>
    <t>Ruta B (aporte de terreno)</t>
  </si>
  <si>
    <t>El dueño del suelo lo aporta a cambio del 30% del cap table + una CxP a socio que se amortiza con 10%–12% del flujo neto por unidad entregada. La CxP es drenaje de caja, no costo de obra.</t>
  </si>
  <si>
    <t>Área lote: 828.77 m² | Tipología temporal del plano</t>
  </si>
  <si>
    <t>Cap Rate / Exit value</t>
  </si>
  <si>
    <t>Para activos en renta (comercial/hotelero): valor de salida = NOI ÷ cap rate.</t>
  </si>
  <si>
    <t>A-007</t>
  </si>
  <si>
    <t>Aviso: esta herramienta es apoyo a la decisión, no sustituye asesoría fiscal, legal, notarial o contable certificada en RD (CONFOTUR, ITBI, fideicomiso, retenciones).</t>
  </si>
  <si>
    <t>Área lote: 788.69 m² | Tipología temporal del plano</t>
  </si>
  <si>
    <t>A-008</t>
  </si>
  <si>
    <t>Área lote: 1228.17 m² | Tipología temporal del plano</t>
  </si>
  <si>
    <t>A-009</t>
  </si>
  <si>
    <t>Área lote: 932.00 m² | Tipología temporal del plano</t>
  </si>
  <si>
    <t>A-010</t>
  </si>
  <si>
    <t>Área lote: 883.19 m² | Tipología temporal del plano</t>
  </si>
  <si>
    <t>A-011</t>
  </si>
  <si>
    <t>Área lote: 811.64 m² | Tipología temporal del plano</t>
  </si>
  <si>
    <t>A-012</t>
  </si>
  <si>
    <t>Área lote: 832.55 m² | Tipología temporal del plano</t>
  </si>
  <si>
    <t>A-013</t>
  </si>
  <si>
    <t>Área lote: 840.40 m² | Tipología temporal del plano</t>
  </si>
  <si>
    <t>A-014</t>
  </si>
  <si>
    <t>Área lote: 813.31 m² | Tipología temporal del plano</t>
  </si>
  <si>
    <t>A-015</t>
  </si>
  <si>
    <t>Área lote: 922.55 m² | Tipología temporal del plano</t>
  </si>
  <si>
    <t>A-016</t>
  </si>
  <si>
    <t>Área lote: 848.54 m² | Tipología temporal del plano</t>
  </si>
  <si>
    <t>A-017</t>
  </si>
  <si>
    <t>Área lote: 762.77 m² | Tipología temporal del plano</t>
  </si>
  <si>
    <t>A-018</t>
  </si>
  <si>
    <t>Área lote: 1006.20 m² | Tipología temporal del plano</t>
  </si>
  <si>
    <t>A-019</t>
  </si>
  <si>
    <t>Área lote: 1225.01 m² | Tipología temporal del plano</t>
  </si>
  <si>
    <t>A-020</t>
  </si>
  <si>
    <t>Área lote: 1068.35 m² | Tipología temporal del plano</t>
  </si>
  <si>
    <t>A-021</t>
  </si>
  <si>
    <t>Área lote: 771.66 m² | Tipología temporal del plano</t>
  </si>
  <si>
    <t>A-022</t>
  </si>
  <si>
    <t>Área lote: 880.10m² | Tipología temporal del plano</t>
  </si>
  <si>
    <t>A-023</t>
  </si>
  <si>
    <t>Área lote: 799.87 m² | Tipología temporal del plano</t>
  </si>
  <si>
    <t>A-024</t>
  </si>
  <si>
    <t>Área lote: 768.76 m² | Tipología temporal del plano</t>
  </si>
  <si>
    <t>A-025</t>
  </si>
  <si>
    <t>Área lote: 767.97 m² | Tipología temporal del plano</t>
  </si>
  <si>
    <t>A-026</t>
  </si>
  <si>
    <t>A-027</t>
  </si>
  <si>
    <t>A-028</t>
  </si>
  <si>
    <t>Área lote: 806.91 m² | Tipología temporal del plano</t>
  </si>
  <si>
    <t>A-029</t>
  </si>
  <si>
    <t>Área lote: 813.54 m² | Tipología temporal del plano</t>
  </si>
  <si>
    <t>A-030</t>
  </si>
  <si>
    <t>Área lote: 769.34 m² | Tipología temporal del plano</t>
  </si>
  <si>
    <t>A-031</t>
  </si>
  <si>
    <t>Área lote: 733.29 m² | Tipología temporal del plano</t>
  </si>
  <si>
    <t>A-032</t>
  </si>
  <si>
    <t>Área lote: 1014.84 m² | Tipología temporal del plano</t>
  </si>
  <si>
    <t>B-001</t>
  </si>
  <si>
    <t>Área lote: 928.76 m² | Tipología temporal del plano</t>
  </si>
  <si>
    <t>B-002</t>
  </si>
  <si>
    <t>Área lote: 822.83 m² | Tipología temporal del plano</t>
  </si>
  <si>
    <t>B-003</t>
  </si>
  <si>
    <t>Área lote: 795.65 m² | Tipología temporal del plano</t>
  </si>
  <si>
    <t>B-004</t>
  </si>
  <si>
    <t>Área lote: 747.22 m² | Tipología temporal del plano</t>
  </si>
  <si>
    <t>B-005</t>
  </si>
  <si>
    <t>Área lote: 1127.39 m² | Tipología temporal del plano</t>
  </si>
  <si>
    <t>B-006</t>
  </si>
  <si>
    <t>Área lote: 773.59 m² | Tipología temporal del plano</t>
  </si>
  <si>
    <t>B-007</t>
  </si>
  <si>
    <t>Área lote: 754.14 m² | Tipología temporal del plano</t>
  </si>
  <si>
    <t>B-008</t>
  </si>
  <si>
    <t>B-009</t>
  </si>
  <si>
    <t>Área lote: 754.33 m² | Tipología temporal del plano</t>
  </si>
  <si>
    <t>B-010</t>
  </si>
  <si>
    <t>Área lote: 729.71 m² | Tipología temporal del plano</t>
  </si>
  <si>
    <t>B-011</t>
  </si>
  <si>
    <t>Área lote: 1046.69 m² | Tipología temporal del plano</t>
  </si>
  <si>
    <t>B-012</t>
  </si>
  <si>
    <t>Área lote: 756.16 m² | Tipología temporal del plano</t>
  </si>
  <si>
    <t>B-013</t>
  </si>
  <si>
    <t>Área lote: 789.57 m² | Tipología temporal del plano</t>
  </si>
  <si>
    <t>B-014</t>
  </si>
  <si>
    <t>Área lote: 754.99 m² | Tipología temporal del plano</t>
  </si>
  <si>
    <t>C-001</t>
  </si>
  <si>
    <t>Área lote: 1404.01 m² | Tipología temporal del plano</t>
  </si>
  <si>
    <t>C-002</t>
  </si>
  <si>
    <t>Área lote: 1054.49 m² | Tipología temporal del plano</t>
  </si>
  <si>
    <t>C-003</t>
  </si>
  <si>
    <t>Área lote: 852.04 m² | Tipología temporal del plano</t>
  </si>
  <si>
    <t>C-004</t>
  </si>
  <si>
    <t>Área lote: 947.60 m² | Tipología temporal del plano</t>
  </si>
  <si>
    <t>C-005</t>
  </si>
  <si>
    <t>Área lote:753.00 m² | Tipología temporal del plano</t>
  </si>
  <si>
    <t>C-006</t>
  </si>
  <si>
    <t>Área lote: 759.10 m² | Tipología temporal del plano</t>
  </si>
  <si>
    <t>C-007</t>
  </si>
  <si>
    <t>Área lote: 708.38 m² | Tipología temporal del plano</t>
  </si>
  <si>
    <t>C-008</t>
  </si>
  <si>
    <t>Área lote: 1060.35 m² | Tipología temporal del plano</t>
  </si>
  <si>
    <t>C-009</t>
  </si>
  <si>
    <t>Área lote: 997.00 m² | Tipología temporal del plano</t>
  </si>
  <si>
    <t>C-010</t>
  </si>
  <si>
    <t>Área lote: 1002.34 m² | Tipología temporal del plano</t>
  </si>
  <si>
    <t>C-011</t>
  </si>
  <si>
    <t>Área lote: 1043.90 m² | Tipología temporal del plano</t>
  </si>
  <si>
    <t>C-012</t>
  </si>
  <si>
    <t>Área lote: 1385.69 m² | Tipología temporal del plano</t>
  </si>
  <si>
    <t>C-013</t>
  </si>
  <si>
    <t>Área lote: 903.09 m² | Tipología temporal del plano</t>
  </si>
  <si>
    <t>C-014</t>
  </si>
  <si>
    <t>Área lote: 847.42 m² | Tipología temporal del plano</t>
  </si>
  <si>
    <t>C-015</t>
  </si>
  <si>
    <t>Área lote: 756.37 m² | Tipología temporal del plano</t>
  </si>
  <si>
    <t>C-016</t>
  </si>
  <si>
    <t>Área lote: 861.39 m² | Tipología temporal del plano</t>
  </si>
  <si>
    <t>C-017</t>
  </si>
  <si>
    <t>Área lote: 773.75 m² | Tipología temporal del plano</t>
  </si>
  <si>
    <t>C-018</t>
  </si>
  <si>
    <t>Área lote: 932.54 m² | Tipología temporal del plano</t>
  </si>
  <si>
    <t>C-019</t>
  </si>
  <si>
    <t>Área lote: 1002.20 m² | Tipología temporal del plano</t>
  </si>
  <si>
    <t>C-020</t>
  </si>
  <si>
    <t>Área lote: 1168.10 m² | Tipología temporal del plano</t>
  </si>
  <si>
    <t>C-021</t>
  </si>
  <si>
    <t>Área lote: 980.33 m² | Tipología temporal del plano</t>
  </si>
  <si>
    <t>C-022</t>
  </si>
  <si>
    <t>Área lote: 987.88 m² | Tipología temporal del plano</t>
  </si>
  <si>
    <t>C-023</t>
  </si>
  <si>
    <t>Área lote: 1029.56 m² | Tipología temporal del plano</t>
  </si>
  <si>
    <t>C-024</t>
  </si>
  <si>
    <t>Área lote: 981.47 m² | Tipología temporal del plano</t>
  </si>
  <si>
    <t>D-001</t>
  </si>
  <si>
    <t>Fase 3</t>
  </si>
  <si>
    <t>Área lote: 690.73 m² | Tipología temporal del plano</t>
  </si>
  <si>
    <t>D-002</t>
  </si>
  <si>
    <t>Área lote: 653.71 m² | Tipología temporal del plano</t>
  </si>
  <si>
    <t>D-003</t>
  </si>
  <si>
    <t>Área lote: 710.08 m² | Tipología temporal del plano</t>
  </si>
  <si>
    <t>D-004</t>
  </si>
  <si>
    <t>Área lote: 882.73 m² | Tipología temporal del plano</t>
  </si>
  <si>
    <t>D-005</t>
  </si>
  <si>
    <t>Área lote: 735.36 m² | Tipología temporal del plano</t>
  </si>
  <si>
    <t>D-006</t>
  </si>
  <si>
    <t>Área lote: 777.66 m² | Tipología temporal del plano</t>
  </si>
  <si>
    <t>D-007</t>
  </si>
  <si>
    <t>Área lote: 800.65 m² | Tipología temporal del plano</t>
  </si>
  <si>
    <t>D-008</t>
  </si>
  <si>
    <t>Área lote: 815.15 m² | Tipología temporal del plano</t>
  </si>
  <si>
    <t>D-009</t>
  </si>
  <si>
    <t>Área lote: 843.39 m² | Tipología temporal del plano</t>
  </si>
  <si>
    <t>D-010</t>
  </si>
  <si>
    <t>Área lote: 700.62 m² | Tipología temporal del plano</t>
  </si>
  <si>
    <t>D-011</t>
  </si>
  <si>
    <t>Área lote: 889.87 m² | Tipología temporal del plano</t>
  </si>
  <si>
    <t>D-012</t>
  </si>
  <si>
    <t>Área lote: 1054.18 m² | Tipología temporal del plano</t>
  </si>
  <si>
    <t>D-013</t>
  </si>
  <si>
    <t>Área lote: 776.08 m² | Tipología temporal del plano</t>
  </si>
  <si>
    <t>D-014</t>
  </si>
  <si>
    <t>Área lote: 790.16 m² | Tipología temporal del plano</t>
  </si>
  <si>
    <t>D-015</t>
  </si>
  <si>
    <t>Área lote: 834.48 m² | Tipología temporal del plano</t>
  </si>
  <si>
    <t>D-016</t>
  </si>
  <si>
    <t>Área lote: 907.19 m² | Tipología temporal del plano</t>
  </si>
  <si>
    <t>D-017</t>
  </si>
  <si>
    <t>Área lote: 637.13 m² | Tipología temporal del plano</t>
  </si>
  <si>
    <t>D-018</t>
  </si>
  <si>
    <t>Área lote: 531.32 m² | Tipología temporal del plano</t>
  </si>
  <si>
    <t>D-019</t>
  </si>
  <si>
    <t>Área lote: 714.85 m² | Tipología temporal del plano</t>
  </si>
  <si>
    <t>D-020</t>
  </si>
  <si>
    <t>Área lote: 605.95 m² | Tipología temporal del plano</t>
  </si>
  <si>
    <t>D-021</t>
  </si>
  <si>
    <t>Área lote: 796.28 m² | Tipología temporal del plano</t>
  </si>
  <si>
    <t>D-022</t>
  </si>
  <si>
    <t>Área lote: 701.00 m² | Tipología temporal del plano</t>
  </si>
  <si>
    <t>D-023</t>
  </si>
  <si>
    <t>Área lote: 710.35 m² | Tipología temporal del plano</t>
  </si>
  <si>
    <t>D-024</t>
  </si>
  <si>
    <t>Área lote: 730.49 m² | Tipología temporal del plano</t>
  </si>
  <si>
    <t>D-025</t>
  </si>
  <si>
    <t>Área lote: 826.59 m² | Tipología temporal del plano</t>
  </si>
  <si>
    <t>D-026</t>
  </si>
  <si>
    <t>Área lote: 535.20 m² | Tipología temporal del plano</t>
  </si>
  <si>
    <t>D-027</t>
  </si>
  <si>
    <t>Área lote: 494.22 m² | Tipología temporal del plano</t>
  </si>
  <si>
    <t>D-028</t>
  </si>
  <si>
    <t>Área lote: 713.80 m² | Tipología temporal del plano</t>
  </si>
  <si>
    <t>D-029</t>
  </si>
  <si>
    <t>Área lote: 685.11 m² | Tipología temporal del plano</t>
  </si>
  <si>
    <t>D-030</t>
  </si>
  <si>
    <t>Área lote: 637.11 m² | Tipología temporal del plano</t>
  </si>
  <si>
    <t>D-031</t>
  </si>
  <si>
    <t>Área lote: 696.59 m² | Tipología temporal del plano</t>
  </si>
  <si>
    <t>D-032</t>
  </si>
  <si>
    <t>Área lote: 1016.94 m² | Tipología temporal del plano</t>
  </si>
  <si>
    <t>D-033</t>
  </si>
  <si>
    <t>Área lote: 793.18 m² | Tipología temporal del plano</t>
  </si>
  <si>
    <t>D-034</t>
  </si>
  <si>
    <t>Área lote: 732.55 m² | Tipología temporal del plano</t>
  </si>
  <si>
    <t>D-035</t>
  </si>
  <si>
    <t>Área lote: 796.67 m² | Tipología temporal del plano</t>
  </si>
  <si>
    <t>D-036</t>
  </si>
  <si>
    <t>Área lote: 645.54 m² | Tipología temporal del plano</t>
  </si>
  <si>
    <t>D-037</t>
  </si>
  <si>
    <t>Área lote: 704.20 m² | Tipología temporal del plano</t>
  </si>
  <si>
    <t>D-038</t>
  </si>
  <si>
    <t>Área lote: 753.90 m² | Tipología temporal del plano</t>
  </si>
  <si>
    <t>D-039</t>
  </si>
  <si>
    <t>Área lote: 957.95 m² | Tipología temporal del plano</t>
  </si>
  <si>
    <t>D-040</t>
  </si>
  <si>
    <t>Área lote: 646.22 m² | Tipología temporal del plano</t>
  </si>
  <si>
    <t>D-041</t>
  </si>
  <si>
    <t>Área lote: 604.61 m² | Tipología temporal del plano</t>
  </si>
  <si>
    <t>D-042</t>
  </si>
  <si>
    <t>Área lote: 569.86 m² | Tipología temporal del plano</t>
  </si>
  <si>
    <t>D-043</t>
  </si>
  <si>
    <t>Área lote: 569.03 m² | Tipología temporal del plano</t>
  </si>
  <si>
    <t>D-044</t>
  </si>
  <si>
    <t>Área lote: 696.56 m² | Tipología temporal del plano</t>
  </si>
  <si>
    <t>D-045</t>
  </si>
  <si>
    <t>Área lote: 568.07 m² | Tipología temporal del plano</t>
  </si>
  <si>
    <t>D-046</t>
  </si>
  <si>
    <t>Área lote: 694.45m² | Tipología temporal del plano</t>
  </si>
  <si>
    <t>D-047</t>
  </si>
  <si>
    <t>Área lote: 713.87 m² | Tipología temporal del plano</t>
  </si>
  <si>
    <t>D-048</t>
  </si>
  <si>
    <t>Área lote: 803.22 m² | Tipología temporal del plano</t>
  </si>
  <si>
    <t>D-049</t>
  </si>
  <si>
    <t>Área lote: 724.28 m² | Tipología temporal del plano</t>
  </si>
  <si>
    <t>D-050</t>
  </si>
  <si>
    <t>Área lote: 643.52 m² | Tipología temporal del plano</t>
  </si>
  <si>
    <t>D-051</t>
  </si>
  <si>
    <t>Área lote: 609.52 m² | Tipología temporal del plano</t>
  </si>
  <si>
    <t>D-052</t>
  </si>
  <si>
    <t>Área lote: 762.03 m² | Tipología temporal del plano</t>
  </si>
  <si>
    <t>D-053</t>
  </si>
  <si>
    <t>Área lote: 671.04 m² | Tipología temporal del plano</t>
  </si>
  <si>
    <t>D-054</t>
  </si>
  <si>
    <t>Área lote: 1289.47 m² | Tipología temporal del plano</t>
  </si>
  <si>
    <t>D-055</t>
  </si>
  <si>
    <t>Fase 2</t>
  </si>
  <si>
    <t>Área lote: 739.28 m² | Tipología temporal del plano</t>
  </si>
  <si>
    <t>D-056</t>
  </si>
  <si>
    <t>Área lote: 831.24 m² | Tipología temporal del plano</t>
  </si>
  <si>
    <t>D-057</t>
  </si>
  <si>
    <t>Área lote: 804.93 m² | Tipología temporal del plano</t>
  </si>
  <si>
    <t>D-058</t>
  </si>
  <si>
    <t>Área lote: 870.24 m² | Tipología temporal del plano</t>
  </si>
  <si>
    <t>D-059</t>
  </si>
  <si>
    <t>Área lote: 938.92 m² | Tipología temporal del plano</t>
  </si>
  <si>
    <t>D-060</t>
  </si>
  <si>
    <t>Área lote: 731.57 m² | Tipología temporal del plano</t>
  </si>
  <si>
    <t>D-061</t>
  </si>
  <si>
    <t>Área lote: 1222.16 m² | Tipología temporal del plano</t>
  </si>
  <si>
    <t>D-062</t>
  </si>
  <si>
    <t>Área lote: 810.64 m² | Tipología temporal del plano</t>
  </si>
  <si>
    <t>D-063</t>
  </si>
  <si>
    <t>Área lote: 1217.45 m² | Tipología temporal del plano</t>
  </si>
  <si>
    <t>D-064</t>
  </si>
  <si>
    <t>Área lote: 1047.58 m² | Tipología temporal del plano</t>
  </si>
  <si>
    <t>D-065</t>
  </si>
  <si>
    <t>Área lote: 1024.05 m² | Tipología temporal del plano</t>
  </si>
  <si>
    <t>D-066</t>
  </si>
  <si>
    <t>Área lote: 1305.94 m² | Tipología temporal del plano</t>
  </si>
  <si>
    <t>D-067</t>
  </si>
  <si>
    <t>Área lote: 1329.16 m² | Tipología temporal del plano</t>
  </si>
  <si>
    <t>D-068</t>
  </si>
  <si>
    <t>Área lote: 921.61 m² | Tipología temporal del plano</t>
  </si>
  <si>
    <t>D-069</t>
  </si>
  <si>
    <t>Área lote: 1124.37m² | Tipología temporal del plano</t>
  </si>
  <si>
    <t>D-070</t>
  </si>
  <si>
    <t>Área lote: 848.10 m² | Tipología temporal del plano</t>
  </si>
  <si>
    <t>D-071</t>
  </si>
  <si>
    <t>Área lote: 1354.81 m² | Tipología temporal del plano</t>
  </si>
  <si>
    <t>D-072</t>
  </si>
  <si>
    <t>Área lote: 990.91 m² | Tipología temporal del plano</t>
  </si>
  <si>
    <t>D-073</t>
  </si>
  <si>
    <t>Área lote: 999.81 m² | Tipología temporal del plano</t>
  </si>
  <si>
    <t>D-074</t>
  </si>
  <si>
    <t>Área lote: 772.56 m² | Tipología temporal del plano</t>
  </si>
  <si>
    <t>D-075</t>
  </si>
  <si>
    <t>Área lote: 727.66 m² | Tipología temporal del plano</t>
  </si>
  <si>
    <t>D-076</t>
  </si>
  <si>
    <t>Área lote: 839.45 m² | Tipología temporal del plano</t>
  </si>
  <si>
    <t>D-077</t>
  </si>
  <si>
    <t>Área lote: 693.48 m² | Tipología temporal del plano</t>
  </si>
  <si>
    <t>D-078</t>
  </si>
  <si>
    <t>Área lote: 863.42 m² | Tipología temporal del plano</t>
  </si>
  <si>
    <t>D-079</t>
  </si>
  <si>
    <t>Área lote: 1029.37 m² | Tipología temporal del plano</t>
  </si>
  <si>
    <t>D-080</t>
  </si>
  <si>
    <t>Área lote: 716.35 m² | Tipología temporal del plano</t>
  </si>
  <si>
    <t>D-081</t>
  </si>
  <si>
    <t>Área lote: 699.55 m² | Tipología temporal del plano</t>
  </si>
  <si>
    <t>D-082</t>
  </si>
  <si>
    <t>Área lote: 762.09 m² | Tipología temporal del plano</t>
  </si>
  <si>
    <t>D-083</t>
  </si>
  <si>
    <t>Área lote: 676.39 m² | Tipología temporal del plano</t>
  </si>
  <si>
    <t>D-084</t>
  </si>
  <si>
    <t>Área lote: 950.44 m² | Tipología temporal del plano</t>
  </si>
  <si>
    <t>E-001</t>
  </si>
  <si>
    <t>Fase 1</t>
  </si>
  <si>
    <t>Área lote: 526.04 m² | Tipología temporal del plano</t>
  </si>
  <si>
    <t>E-002</t>
  </si>
  <si>
    <t>Área lote: 570.59 m² | Tipología temporal del plano</t>
  </si>
  <si>
    <t>E-003</t>
  </si>
  <si>
    <t>Área lote: 573.53 m² | Tipología temporal del plano</t>
  </si>
  <si>
    <t>E-004</t>
  </si>
  <si>
    <t>Área lote: 756.24 m² | Tipología temporal del plano</t>
  </si>
  <si>
    <t>E-005</t>
  </si>
  <si>
    <t>Área lote: 517.65 m² | Tipología temporal del plano</t>
  </si>
  <si>
    <t>E-006</t>
  </si>
  <si>
    <t>Área lote: 745.89 m² | Tipología temporal del plano</t>
  </si>
  <si>
    <t>E-007</t>
  </si>
  <si>
    <t>Área lote: 765.82 m² | Tipología temporal del plano</t>
  </si>
  <si>
    <t>E-008</t>
  </si>
  <si>
    <t>Área lote: 648.64 m² | Tipología temporal del plano</t>
  </si>
  <si>
    <t>E-009</t>
  </si>
  <si>
    <t>Área lote: 723.32 m² | Tipología temporal del plano</t>
  </si>
  <si>
    <t>E-010</t>
  </si>
  <si>
    <t>Área lote: 644.47 m² | Tipología temporal del plano</t>
  </si>
  <si>
    <t>E-011</t>
  </si>
  <si>
    <t>Área lote: 599.96 m² | Tipología temporal del plano</t>
  </si>
  <si>
    <t>E-012</t>
  </si>
  <si>
    <t>Área lote: 634.46 m² | Tipología temporal del plano</t>
  </si>
  <si>
    <t>E-013</t>
  </si>
  <si>
    <t>Área lote: 761.65 m² | Tipología temporal del plano</t>
  </si>
  <si>
    <t>E-014</t>
  </si>
  <si>
    <t>Área lote: 670.21 m² | Tipología temporal del plano</t>
  </si>
  <si>
    <t>E-015</t>
  </si>
  <si>
    <t>Área lote: 656.40 m² | Tipología temporal del plano</t>
  </si>
  <si>
    <t>E-016</t>
  </si>
  <si>
    <t>Área lote: 696.65 m² | Tipología temporal del plano</t>
  </si>
  <si>
    <t>E-017</t>
  </si>
  <si>
    <t>Área lote: 559.99 m² | Tipología temporal del plano</t>
  </si>
  <si>
    <t>E-018</t>
  </si>
  <si>
    <t>Área lote: 733.12 m² | Tipología temporal del plano</t>
  </si>
  <si>
    <t>E-019</t>
  </si>
  <si>
    <t>Área lote: 640.84 m² | Tipología temporal del plano</t>
  </si>
  <si>
    <t>E-020</t>
  </si>
  <si>
    <t>Área lote: 648.91 m² | Tipología temporal del plano</t>
  </si>
  <si>
    <t>E-021</t>
  </si>
  <si>
    <t>Área lote: 540.47 m² | Tipología temporal del plano</t>
  </si>
  <si>
    <t>E-022</t>
  </si>
  <si>
    <t>Área lote: 662.46 m² | Tipología temporal del plano</t>
  </si>
  <si>
    <t>E-023</t>
  </si>
  <si>
    <t>Área lote: 775.34 m² | Tipología temporal del plano</t>
  </si>
  <si>
    <t>E-024</t>
  </si>
  <si>
    <t>Área lote: 745.47 m² | Tipología temporal del plano</t>
  </si>
  <si>
    <t>E-025</t>
  </si>
  <si>
    <t>Área lote: 670.43 m² | Tipología temporal del plano</t>
  </si>
  <si>
    <t>E-026</t>
  </si>
  <si>
    <t>Área lote: 542.06 m² | Tipología temporal del plano</t>
  </si>
  <si>
    <t>E-027</t>
  </si>
  <si>
    <t>Área lote: 556.16m² | Tipología temporal del plano</t>
  </si>
  <si>
    <t>E-028</t>
  </si>
  <si>
    <t>Área lote: 565.84 m² | Tipología temporal del plano</t>
  </si>
  <si>
    <t>E-029</t>
  </si>
  <si>
    <t>Área lote: 745.66 m² | Tipología temporal del plano</t>
  </si>
  <si>
    <t>E-030</t>
  </si>
  <si>
    <t>Área lote: 640.65 m² | Tipología temporal del plano</t>
  </si>
  <si>
    <t>E-031</t>
  </si>
  <si>
    <t>Área lote: 581.95 m² | Tipología temporal del plano</t>
  </si>
  <si>
    <t>E-032</t>
  </si>
  <si>
    <t>Área lote: 523.19 m² | Tipología temporal del plano</t>
  </si>
  <si>
    <t>E-033</t>
  </si>
  <si>
    <t>Área lote: 631.47 m² | Tipología temporal del plano</t>
  </si>
  <si>
    <t>E-034</t>
  </si>
  <si>
    <t>Área lote: 587.53 m² | Tipología temporal del plano</t>
  </si>
  <si>
    <t>E-035</t>
  </si>
  <si>
    <t>Área lote: 624.06 m² | Tipología temporal del plano</t>
  </si>
  <si>
    <t>E-036</t>
  </si>
  <si>
    <t>Área lote: 619.19 m² | Tipología temporal del plano</t>
  </si>
  <si>
    <t>E-037</t>
  </si>
  <si>
    <t>Área lote: 649.81 m² | Tipología temporal del plano</t>
  </si>
  <si>
    <t>E-038</t>
  </si>
  <si>
    <t>Área lote: 706.38 m² | Tipología temporal del plano</t>
  </si>
  <si>
    <t>E-039</t>
  </si>
  <si>
    <t>Área lote: 598.11 m² | Tipología temporal del plano</t>
  </si>
  <si>
    <t>E-040</t>
  </si>
  <si>
    <t>Área lote: 600.45 m² | Tipología temporal del plano</t>
  </si>
  <si>
    <t>E-041</t>
  </si>
  <si>
    <t>Área lote: 543.86 m² | Tipología temporal del plano</t>
  </si>
  <si>
    <t>E-042</t>
  </si>
  <si>
    <t>Área lote: 514.86 m² | Tipología temporal del plano</t>
  </si>
  <si>
    <t>E-043</t>
  </si>
  <si>
    <t>Área lote: 617.64 m² | Tipología temporal del plano</t>
  </si>
  <si>
    <t>E-044</t>
  </si>
  <si>
    <t>Área lote: 640.51 m² | Tipología temporal del plano</t>
  </si>
  <si>
    <t>E-045</t>
  </si>
  <si>
    <t>Área lote: 716.83 m² | Tipología temporal del plano</t>
  </si>
  <si>
    <t>E-046</t>
  </si>
  <si>
    <t>Área lote: 629.35 m² | Tipología temporal del plano</t>
  </si>
  <si>
    <t>E-047</t>
  </si>
  <si>
    <t>Área lote: 667.75 m² | Tipología temporal del plano</t>
  </si>
  <si>
    <t>E-048</t>
  </si>
  <si>
    <t>Área lote: 666.58 m² | Tipología temporal del plano</t>
  </si>
  <si>
    <t>E-049</t>
  </si>
  <si>
    <t>Área lote: 610.66 m² | Tipología temporal del plano</t>
  </si>
  <si>
    <t>E-050</t>
  </si>
  <si>
    <t>Área lote: 528.73 m² | Tipología temporal del plano</t>
  </si>
  <si>
    <t>E-051</t>
  </si>
  <si>
    <t>Área lote: 635.74 m² | Tipología temporal del plano</t>
  </si>
  <si>
    <t>E-052</t>
  </si>
  <si>
    <t>Área lote: 571.20 m² | Tipología temporal del plano</t>
  </si>
  <si>
    <t>E-053</t>
  </si>
  <si>
    <t>Área lote: 594.76 m² | Tipología temporal del plano</t>
  </si>
  <si>
    <t>E-054</t>
  </si>
  <si>
    <t>Área lote: 571.22 m² | Tipología temporal del plano</t>
  </si>
  <si>
    <t>E-055</t>
  </si>
  <si>
    <t>Área lote: 530.14 m² | Tipología temporal del plano</t>
  </si>
  <si>
    <t>E-056</t>
  </si>
  <si>
    <t>Área lote: 624.99 m² | Tipología temporal del plano</t>
  </si>
  <si>
    <t>E-057</t>
  </si>
  <si>
    <t>Área lote: 795.94 m² | Tipología temporal del plano</t>
  </si>
  <si>
    <t>E-058</t>
  </si>
  <si>
    <t>Área lote: 766.81 m² | Tipología temporal del plano</t>
  </si>
  <si>
    <t>E-059</t>
  </si>
  <si>
    <t>Área lote: 712.57 m² | Tipología temporal del plano</t>
  </si>
  <si>
    <t>E-060</t>
  </si>
  <si>
    <t>Área lote: 768.91 m² | Tipología temporal del plano</t>
  </si>
  <si>
    <t>E-061</t>
  </si>
  <si>
    <t>Área lote: 817.59 m² | Tipología temporal del plano</t>
  </si>
  <si>
    <t>E-062</t>
  </si>
  <si>
    <t>Área lote: 957.12 m² | Tipología temporal del plano</t>
  </si>
  <si>
    <t>E-063</t>
  </si>
  <si>
    <t>Área lote: 1101.92 m² | Tipología temporal del plano</t>
  </si>
  <si>
    <t>E-064</t>
  </si>
  <si>
    <t>Área lote: 745.35 m² | Tipología temporal del plano</t>
  </si>
  <si>
    <t>E-065</t>
  </si>
  <si>
    <t>Área lote: 713.82 m² | Tipología temporal del plano</t>
  </si>
  <si>
    <t>E-066</t>
  </si>
  <si>
    <t>Área lote: 960.72 m² | Tipología temporal del plano</t>
  </si>
  <si>
    <t>E-067</t>
  </si>
  <si>
    <t>Área lote: 968.00 m² | Tipología temporal del plano</t>
  </si>
  <si>
    <t>E-068</t>
  </si>
  <si>
    <t>Área lote: 793.52 m² | Tipología temporal del plano</t>
  </si>
  <si>
    <t>E-069</t>
  </si>
  <si>
    <t>Área lote: 936.99 m² | Tipología temporal del plano</t>
  </si>
  <si>
    <t>E-070</t>
  </si>
  <si>
    <t>Área lote: 865.64 m² | Tipología temporal del plano</t>
  </si>
  <si>
    <t>E-071</t>
  </si>
  <si>
    <t>Área lote: 684.97 m² | Tipología temporal del plano</t>
  </si>
  <si>
    <t>E-072</t>
  </si>
  <si>
    <t>Área lote: 680.29 m² | Tipología temporal del plano</t>
  </si>
  <si>
    <t>E-073</t>
  </si>
  <si>
    <t>Área lote: 611.85 m² | Tipología temporal del plano</t>
  </si>
  <si>
    <t>E-074</t>
  </si>
  <si>
    <t>Área lote: 670.33 m² | Tipología temporal del plano</t>
  </si>
  <si>
    <t>E-075</t>
  </si>
  <si>
    <t>Área lote: 658.73 m² | Tipología temporal del plano</t>
  </si>
  <si>
    <t>E-076</t>
  </si>
  <si>
    <t>Área lote: 700.16 m² | Tipología temporal del plano</t>
  </si>
  <si>
    <t>E-077</t>
  </si>
  <si>
    <t>Área lote: 643.60 m² | Tipología temporal del plano</t>
  </si>
  <si>
    <t>E-078</t>
  </si>
  <si>
    <t>Área lote: 644.40 m² | Tipología temporal del plano</t>
  </si>
  <si>
    <t>E-079</t>
  </si>
  <si>
    <t>Área lote: 656.97 m² | Tipología temporal del plano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</si>
</sst>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;;\-"/>
    <numFmt numFmtId="165" formatCode="#,##0.0;;\-"/>
    <numFmt numFmtId="166" formatCode="\$#,##0;;\-"/>
    <numFmt numFmtId="167" formatCode="#,##0;;\-"/>
  </numFmts>
  <fonts count="26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8.0"/>
      <color rgb="FFFFFFFF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sz val="10.0"/>
      <color rgb="FF1A1A1A"/>
      <name val="Arial"/>
    </font>
    <font>
      <b/>
      <sz val="10.0"/>
      <color rgb="FF1A1A1A"/>
      <name val="Arial"/>
    </font>
    <font>
      <sz val="9.0"/>
      <color rgb="FF1A1A1A"/>
      <name val="Arial"/>
    </font>
    <font>
      <i/>
      <sz val="9.0"/>
      <color rgb="FF6A6A6A"/>
      <name val="Arial"/>
    </font>
    <font>
      <color rgb="FF1A1A1A"/>
      <name val="Arial"/>
    </font>
    <font>
      <b/>
      <sz val="25.0"/>
      <color rgb="FF1A1A1A"/>
      <name val="Arial"/>
    </font>
    <font>
      <sz val="17.0"/>
      <color rgb="FF1A1A1A"/>
      <name val="Arial"/>
    </font>
    <font>
      <sz val="10.0"/>
      <color rgb="FFFFFFFF"/>
      <name val="Arial"/>
    </font>
    <font>
      <i/>
      <sz val="9.0"/>
      <color rgb="FF808080"/>
      <name val="Arial"/>
    </font>
    <font>
      <sz val="11.0"/>
      <color theme="1"/>
      <name val="Calibri"/>
    </font>
    <font>
      <i/>
      <sz val="9.0"/>
      <color rgb="FF8A0E20"/>
      <name val="Arial"/>
    </font>
    <font>
      <b/>
      <sz val="10.0"/>
      <color rgb="FF000000"/>
      <name val="Arial"/>
    </font>
    <font>
      <color theme="1"/>
      <name val="Calibri"/>
      <scheme val="minor"/>
    </font>
    <font>
      <i/>
      <sz val="9.0"/>
      <color rgb="FF000000"/>
      <name val="Arial"/>
    </font>
    <font>
      <sz val="9.0"/>
      <color theme="1"/>
      <name val="Calibri"/>
      <scheme val="minor"/>
    </font>
    <font>
      <i/>
      <sz val="9.0"/>
      <color rgb="FFC0182C"/>
      <name val="Arial"/>
    </font>
    <font>
      <sz val="11.0"/>
      <color theme="1"/>
      <name val="Arial"/>
    </font>
    <font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C0182C"/>
        <bgColor rgb="FFC0182C"/>
      </patternFill>
    </fill>
    <fill>
      <patternFill patternType="solid">
        <fgColor rgb="FFFFF2CC"/>
        <bgColor rgb="FFFFF2CC"/>
      </patternFill>
    </fill>
    <fill>
      <patternFill patternType="solid">
        <fgColor rgb="FF8A0E20"/>
        <bgColor rgb="FF8A0E20"/>
      </patternFill>
    </fill>
    <fill>
      <patternFill patternType="solid">
        <fgColor rgb="FFFCE4E4"/>
        <bgColor rgb="FFFCE4E4"/>
      </patternFill>
    </fill>
    <fill>
      <patternFill patternType="solid">
        <fgColor rgb="FF7A5C00"/>
        <bgColor rgb="FF7A5C0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6">
    <border/>
    <border>
      <left/>
      <top/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/>
      <bottom/>
    </border>
    <border>
      <top style="thin">
        <color rgb="FFFFFFFF"/>
      </top>
      <bottom style="thin">
        <color rgb="FFFFFFFF"/>
      </bottom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/>
      <right/>
      <top/>
      <bottom/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2" fontId="1" numFmtId="0" xfId="0" applyAlignment="1" applyBorder="1" applyFill="1" applyFont="1">
      <alignment horizontal="left" shrinkToFit="0" vertical="center" wrapText="0"/>
    </xf>
    <xf borderId="3" fillId="0" fontId="2" numFmtId="0" xfId="0" applyBorder="1" applyFont="1"/>
    <xf borderId="4" fillId="0" fontId="2" numFmtId="0" xfId="0" applyBorder="1" applyFont="1"/>
    <xf borderId="1" fillId="2" fontId="3" numFmtId="0" xfId="0" applyAlignment="1" applyBorder="1" applyFill="1" applyFont="1">
      <alignment horizontal="left" shrinkToFit="0" vertical="center" wrapText="0"/>
    </xf>
    <xf borderId="5" fillId="0" fontId="2" numFmtId="0" xfId="0" applyBorder="1" applyFont="1"/>
    <xf borderId="1" fillId="2" fontId="4" numFmtId="0" xfId="0" applyAlignment="1" applyBorder="1" applyFill="1" applyFont="1">
      <alignment horizontal="left" readingOrder="0" shrinkToFit="0" vertical="center" wrapText="0"/>
    </xf>
    <xf borderId="6" fillId="2" fontId="5" numFmtId="0" xfId="0" applyAlignment="1" applyBorder="1" applyFill="1" applyFont="1">
      <alignment horizontal="center" shrinkToFit="0" vertical="center" wrapText="0"/>
    </xf>
    <xf borderId="1" fillId="2" fontId="6" numFmtId="0" xfId="0" applyAlignment="1" applyBorder="1" applyFill="1" applyFont="1">
      <alignment horizontal="left" shrinkToFit="0" vertical="center" wrapText="0"/>
    </xf>
    <xf borderId="7" fillId="0" fontId="2" numFmtId="0" xfId="0" applyBorder="1" applyFont="1"/>
    <xf borderId="8" fillId="2" fontId="7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0"/>
    </xf>
    <xf borderId="9" fillId="3" fontId="5" numFmtId="0" xfId="0" applyAlignment="1" applyBorder="1" applyFill="1" applyFont="1">
      <alignment horizontal="left" shrinkToFit="0" vertical="center" wrapText="0"/>
    </xf>
    <xf borderId="10" fillId="2" fontId="7" numFmtId="0" xfId="0" applyAlignment="1" applyBorder="1" applyFill="1" applyFont="1">
      <alignment horizontal="center" shrinkToFit="0" vertical="center" wrapText="0"/>
    </xf>
    <xf borderId="11" fillId="0" fontId="2" numFmtId="0" xfId="0" applyBorder="1" applyFont="1"/>
    <xf borderId="12" fillId="0" fontId="2" numFmtId="0" xfId="0" applyBorder="1" applyFont="1"/>
    <xf borderId="1" fillId="2" fontId="7" numFmtId="0" xfId="0" applyAlignment="1" applyBorder="1" applyFill="1" applyFont="1">
      <alignment horizontal="center" shrinkToFit="0" vertical="center" wrapText="0"/>
    </xf>
    <xf borderId="1" fillId="3" fontId="6" numFmtId="0" xfId="0" applyAlignment="1" applyBorder="1" applyFill="1" applyFont="1">
      <alignment horizontal="left" shrinkToFit="0" vertical="center" wrapText="0"/>
    </xf>
    <xf borderId="6" fillId="0" fontId="8" numFmtId="0" xfId="0" applyAlignment="1" applyBorder="1" applyFont="1">
      <alignment horizontal="left" shrinkToFit="0" vertical="center" wrapText="1"/>
    </xf>
    <xf borderId="6" fillId="4" fontId="9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horizontal="left" shrinkToFit="0" vertical="center" wrapText="1"/>
    </xf>
    <xf borderId="6" fillId="0" fontId="8" numFmtId="0" xfId="0" applyAlignment="1" applyBorder="1" applyFont="1">
      <alignment horizontal="center" shrinkToFit="0" vertical="center" wrapText="0"/>
    </xf>
    <xf borderId="1" fillId="3" fontId="7" numFmtId="0" xfId="0" applyAlignment="1" applyBorder="1" applyFill="1" applyFont="1">
      <alignment horizontal="center" shrinkToFit="0" vertical="center" wrapText="0"/>
    </xf>
    <xf borderId="6" fillId="0" fontId="10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left" shrinkToFit="0" vertical="center" wrapText="1"/>
    </xf>
    <xf borderId="1" fillId="5" fontId="7" numFmtId="0" xfId="0" applyAlignment="1" applyBorder="1" applyFill="1" applyFont="1">
      <alignment horizontal="center" shrinkToFit="0" vertical="center" wrapText="0"/>
    </xf>
    <xf borderId="13" fillId="6" fontId="12" numFmtId="0" xfId="0" applyAlignment="1" applyBorder="1" applyFill="1" applyFont="1">
      <alignment horizontal="center"/>
    </xf>
    <xf borderId="1" fillId="7" fontId="7" numFmtId="0" xfId="0" applyAlignment="1" applyBorder="1" applyFill="1" applyFont="1">
      <alignment horizontal="center" shrinkToFit="0" vertical="center" wrapText="0"/>
    </xf>
    <xf borderId="13" fillId="6" fontId="9" numFmtId="0" xfId="0" applyAlignment="1" applyBorder="1" applyFill="1" applyFont="1">
      <alignment horizontal="center" readingOrder="0" shrinkToFit="0" vertical="center" wrapText="0"/>
    </xf>
    <xf borderId="13" fillId="6" fontId="8" numFmtId="0" xfId="0" applyAlignment="1" applyBorder="1" applyFill="1" applyFont="1">
      <alignment horizontal="center" readingOrder="0" shrinkToFit="0" vertical="center" wrapText="0"/>
    </xf>
    <xf borderId="6" fillId="2" fontId="7" numFmtId="0" xfId="0" applyAlignment="1" applyBorder="1" applyFill="1" applyFont="1">
      <alignment horizontal="center" shrinkToFit="0" vertical="center" wrapText="1"/>
    </xf>
    <xf borderId="9" fillId="2" fontId="5" numFmtId="0" xfId="0" applyAlignment="1" applyBorder="1" applyFill="1" applyFont="1">
      <alignment horizontal="center" shrinkToFit="0" vertical="center" wrapText="0"/>
    </xf>
    <xf borderId="14" fillId="0" fontId="2" numFmtId="0" xfId="0" applyBorder="1" applyFont="1"/>
    <xf borderId="6" fillId="4" fontId="9" numFmtId="164" xfId="0" applyAlignment="1" applyBorder="1" applyFill="1" applyFont="1" applyNumberFormat="1">
      <alignment horizontal="center" shrinkToFit="0" vertical="center" wrapText="0"/>
    </xf>
    <xf borderId="6" fillId="8" fontId="9" numFmtId="0" xfId="0" applyAlignment="1" applyBorder="1" applyFill="1" applyFont="1">
      <alignment horizontal="left" shrinkToFit="0" vertical="center" wrapText="0"/>
    </xf>
    <xf borderId="9" fillId="0" fontId="8" numFmtId="0" xfId="0" applyAlignment="1" applyBorder="1" applyFont="1">
      <alignment horizontal="left" shrinkToFit="0" vertical="center" wrapText="1"/>
    </xf>
    <xf borderId="6" fillId="2" fontId="7" numFmtId="0" xfId="0" applyAlignment="1" applyBorder="1" applyFill="1" applyFont="1">
      <alignment horizontal="center" readingOrder="0" shrinkToFit="0" vertical="center" wrapText="1"/>
    </xf>
    <xf borderId="13" fillId="8" fontId="8" numFmtId="0" xfId="0" applyAlignment="1" applyBorder="1" applyFill="1" applyFont="1">
      <alignment horizontal="center" shrinkToFit="0" vertical="center" wrapText="0"/>
    </xf>
    <xf borderId="6" fillId="8" fontId="13" numFmtId="0" xfId="0" applyAlignment="1" applyBorder="1" applyFill="1" applyFont="1">
      <alignment horizontal="left" shrinkToFit="0" vertical="center" wrapText="1"/>
    </xf>
    <xf borderId="13" fillId="8" fontId="8" numFmtId="165" xfId="0" applyAlignment="1" applyBorder="1" applyFill="1" applyFont="1" applyNumberFormat="1">
      <alignment horizontal="center" shrinkToFit="0" vertical="center" wrapText="0"/>
    </xf>
    <xf borderId="6" fillId="0" fontId="14" numFmtId="0" xfId="0" applyAlignment="1" applyBorder="1" applyFont="1">
      <alignment horizontal="left" readingOrder="0" shrinkToFit="0" vertical="center" wrapText="1"/>
    </xf>
    <xf borderId="6" fillId="0" fontId="8" numFmtId="0" xfId="0" applyAlignment="1" applyBorder="1" applyFont="1">
      <alignment horizontal="left" readingOrder="0" shrinkToFit="0" vertical="center" wrapText="1"/>
    </xf>
    <xf borderId="6" fillId="6" fontId="8" numFmtId="0" xfId="0" applyAlignment="1" applyBorder="1" applyFill="1" applyFont="1">
      <alignment horizontal="center" readingOrder="0" shrinkToFit="0" vertical="center" wrapText="0"/>
    </xf>
    <xf borderId="6" fillId="6" fontId="8" numFmtId="0" xfId="0" applyAlignment="1" applyBorder="1" applyFill="1" applyFont="1">
      <alignment horizontal="center" shrinkToFit="0" vertical="center" wrapText="0"/>
    </xf>
    <xf borderId="6" fillId="6" fontId="8" numFmtId="165" xfId="0" applyAlignment="1" applyBorder="1" applyFill="1" applyFont="1" applyNumberFormat="1">
      <alignment horizontal="center" readingOrder="0" shrinkToFit="0" vertical="center" wrapText="0"/>
    </xf>
    <xf borderId="9" fillId="0" fontId="8" numFmtId="0" xfId="0" applyAlignment="1" applyBorder="1" applyFont="1">
      <alignment horizontal="left" shrinkToFit="0" vertical="center" wrapText="0"/>
    </xf>
    <xf borderId="13" fillId="6" fontId="8" numFmtId="0" xfId="0" applyAlignment="1" applyBorder="1" applyFill="1" applyFont="1">
      <alignment horizontal="center" shrinkToFit="0" vertical="center" wrapText="0"/>
    </xf>
    <xf borderId="6" fillId="4" fontId="8" numFmtId="0" xfId="0" applyAlignment="1" applyBorder="1" applyFill="1" applyFont="1">
      <alignment horizontal="center" shrinkToFit="0" vertical="center" wrapText="0"/>
    </xf>
    <xf borderId="6" fillId="8" fontId="8" numFmtId="0" xfId="0" applyAlignment="1" applyBorder="1" applyFill="1" applyFont="1">
      <alignment horizontal="center" shrinkToFit="0" vertical="center" wrapText="0"/>
    </xf>
    <xf borderId="6" fillId="8" fontId="8" numFmtId="165" xfId="0" applyAlignment="1" applyBorder="1" applyFill="1" applyFont="1" applyNumberFormat="1">
      <alignment horizontal="center" shrinkToFit="0" vertical="center" wrapText="0"/>
    </xf>
    <xf borderId="6" fillId="2" fontId="8" numFmtId="0" xfId="0" applyAlignment="1" applyBorder="1" applyFill="1" applyFont="1">
      <alignment horizontal="center" shrinkToFit="0" vertical="center" wrapText="0"/>
    </xf>
    <xf borderId="9" fillId="2" fontId="15" numFmtId="0" xfId="0" applyAlignment="1" applyBorder="1" applyFill="1" applyFont="1">
      <alignment horizontal="left" shrinkToFit="0" vertical="center" wrapText="0"/>
    </xf>
    <xf borderId="13" fillId="4" fontId="8" numFmtId="166" xfId="0" applyAlignment="1" applyBorder="1" applyFill="1" applyFont="1" applyNumberFormat="1">
      <alignment horizontal="center" shrinkToFit="0" vertical="center" wrapText="0"/>
    </xf>
    <xf borderId="6" fillId="8" fontId="8" numFmtId="164" xfId="0" applyAlignment="1" applyBorder="1" applyFill="1" applyFont="1" applyNumberFormat="1">
      <alignment horizontal="center" shrinkToFit="0" vertical="center" wrapText="0"/>
    </xf>
    <xf borderId="6" fillId="4" fontId="9" numFmtId="166" xfId="0" applyAlignment="1" applyBorder="1" applyFill="1" applyFont="1" applyNumberFormat="1">
      <alignment horizontal="center" shrinkToFit="0" vertical="center" wrapText="0"/>
    </xf>
    <xf borderId="6" fillId="4" fontId="8" numFmtId="166" xfId="0" applyAlignment="1" applyBorder="1" applyFill="1" applyFont="1" applyNumberFormat="1">
      <alignment horizontal="center" readingOrder="0" shrinkToFit="0" vertical="center" wrapText="0"/>
    </xf>
    <xf borderId="0" fillId="0" fontId="16" numFmtId="0" xfId="0" applyAlignment="1" applyFont="1">
      <alignment horizontal="left" shrinkToFit="0" vertical="center" wrapText="0"/>
    </xf>
    <xf borderId="13" fillId="9" fontId="10" numFmtId="0" xfId="0" applyAlignment="1" applyBorder="1" applyFill="1" applyFont="1">
      <alignment readingOrder="0"/>
    </xf>
    <xf borderId="0" fillId="0" fontId="17" numFmtId="0" xfId="0" applyAlignment="1" applyFont="1">
      <alignment vertical="bottom"/>
    </xf>
    <xf borderId="6" fillId="4" fontId="8" numFmtId="166" xfId="0" applyAlignment="1" applyBorder="1" applyFill="1" applyFont="1" applyNumberFormat="1">
      <alignment horizontal="center" shrinkToFit="0" vertical="center" wrapText="0"/>
    </xf>
    <xf borderId="15" fillId="6" fontId="12" numFmtId="0" xfId="0" applyAlignment="1" applyBorder="1" applyFill="1" applyFont="1">
      <alignment horizontal="center"/>
    </xf>
    <xf borderId="15" fillId="6" fontId="9" numFmtId="0" xfId="0" applyAlignment="1" applyBorder="1" applyFill="1" applyFont="1">
      <alignment horizontal="center" readingOrder="0" shrinkToFit="0" vertical="center" wrapText="0"/>
    </xf>
    <xf borderId="15" fillId="6" fontId="8" numFmtId="0" xfId="0" applyAlignment="1" applyBorder="1" applyFill="1" applyFont="1">
      <alignment horizontal="center" readingOrder="0" shrinkToFit="0" vertical="center" wrapText="0"/>
    </xf>
    <xf borderId="6" fillId="0" fontId="18" numFmtId="0" xfId="0" applyAlignment="1" applyBorder="1" applyFont="1">
      <alignment horizontal="left" shrinkToFit="0" vertical="center" wrapText="1"/>
    </xf>
    <xf borderId="6" fillId="6" fontId="19" numFmtId="0" xfId="0" applyAlignment="1" applyBorder="1" applyFill="1" applyFont="1">
      <alignment horizontal="left" readingOrder="0" shrinkToFit="0" vertical="center" wrapText="1"/>
    </xf>
    <xf borderId="15" fillId="8" fontId="8" numFmtId="0" xfId="0" applyAlignment="1" applyBorder="1" applyFill="1" applyFont="1">
      <alignment horizontal="center" shrinkToFit="0" vertical="center" wrapText="0"/>
    </xf>
    <xf borderId="15" fillId="8" fontId="8" numFmtId="165" xfId="0" applyAlignment="1" applyBorder="1" applyFill="1" applyFont="1" applyNumberFormat="1">
      <alignment horizontal="center" shrinkToFit="0" vertical="center" wrapText="0"/>
    </xf>
    <xf borderId="15" fillId="6" fontId="8" numFmtId="0" xfId="0" applyAlignment="1" applyBorder="1" applyFill="1" applyFont="1">
      <alignment horizontal="center" shrinkToFit="0" vertical="center" wrapText="0"/>
    </xf>
    <xf borderId="15" fillId="4" fontId="8" numFmtId="166" xfId="0" applyAlignment="1" applyBorder="1" applyFill="1" applyFont="1" applyNumberFormat="1">
      <alignment horizontal="center" shrinkToFit="0" vertical="center" wrapText="0"/>
    </xf>
    <xf borderId="15" fillId="9" fontId="10" numFmtId="0" xfId="0" applyAlignment="1" applyBorder="1" applyFill="1" applyFont="1">
      <alignment readingOrder="0"/>
    </xf>
    <xf borderId="0" fillId="9" fontId="20" numFmtId="0" xfId="0" applyFill="1" applyFont="1"/>
    <xf borderId="15" fillId="6" fontId="12" numFmtId="0" xfId="0" applyAlignment="1" applyBorder="1" applyFill="1" applyFont="1">
      <alignment horizontal="center" readingOrder="0"/>
    </xf>
    <xf borderId="6" fillId="6" fontId="21" numFmtId="0" xfId="0" applyAlignment="1" applyBorder="1" applyFill="1" applyFont="1">
      <alignment horizontal="left" readingOrder="0" shrinkToFit="0" vertical="center" wrapText="1"/>
    </xf>
    <xf borderId="6" fillId="2" fontId="5" numFmtId="0" xfId="0" applyAlignment="1" applyBorder="1" applyFill="1" applyFont="1">
      <alignment horizontal="left" shrinkToFit="0" vertical="center" wrapText="0"/>
    </xf>
    <xf borderId="6" fillId="2" fontId="8" numFmtId="0" xfId="0" applyAlignment="1" applyBorder="1" applyFill="1" applyFont="1">
      <alignment horizontal="left" shrinkToFit="0" vertical="center" wrapText="0"/>
    </xf>
    <xf borderId="6" fillId="2" fontId="5" numFmtId="167" xfId="0" applyAlignment="1" applyBorder="1" applyFill="1" applyFont="1" applyNumberFormat="1">
      <alignment horizontal="center" shrinkToFit="0" vertical="center" wrapText="0"/>
    </xf>
    <xf borderId="15" fillId="9" fontId="10" numFmtId="0" xfId="0" applyBorder="1" applyFill="1" applyFont="1"/>
    <xf borderId="6" fillId="2" fontId="5" numFmtId="164" xfId="0" applyAlignment="1" applyBorder="1" applyFill="1" applyFont="1" applyNumberFormat="1">
      <alignment horizontal="center" shrinkToFit="0" vertical="center" wrapText="0"/>
    </xf>
    <xf borderId="6" fillId="2" fontId="5" numFmtId="165" xfId="0" applyAlignment="1" applyBorder="1" applyFill="1" applyFont="1" applyNumberFormat="1">
      <alignment horizontal="center"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6" fillId="2" fontId="5" numFmtId="166" xfId="0" applyAlignment="1" applyBorder="1" applyFill="1" applyFont="1" applyNumberFormat="1">
      <alignment horizontal="center" shrinkToFit="0" vertical="center" wrapText="0"/>
    </xf>
    <xf borderId="6" fillId="8" fontId="9" numFmtId="0" xfId="0" applyAlignment="1" applyBorder="1" applyFill="1" applyFont="1">
      <alignment horizontal="center" shrinkToFit="0" vertical="center" wrapText="0"/>
    </xf>
    <xf borderId="6" fillId="2" fontId="7" numFmtId="0" xfId="0" applyAlignment="1" applyBorder="1" applyFill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9" fontId="22" numFmtId="0" xfId="0" applyAlignment="1" applyFill="1" applyFont="1">
      <alignment readingOrder="0"/>
    </xf>
    <xf borderId="9" fillId="0" fontId="11" numFmtId="0" xfId="0" applyAlignment="1" applyBorder="1" applyFont="1">
      <alignment horizontal="left"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9" fillId="0" fontId="10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left" shrinkToFit="0" vertical="center" wrapText="1"/>
    </xf>
    <xf borderId="15" fillId="6" fontId="24" numFmtId="0" xfId="0" applyAlignment="1" applyBorder="1" applyFill="1" applyFont="1">
      <alignment horizontal="center" readingOrder="0" vertical="bottom"/>
    </xf>
    <xf borderId="15" fillId="9" fontId="25" numFmtId="0" xfId="0" applyAlignment="1" applyBorder="1" applyFill="1" applyFont="1">
      <alignment readingOrder="0" vertical="bottom"/>
    </xf>
    <xf borderId="15" fillId="9" fontId="2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182C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24.0"/>
    <col customWidth="1" min="4" max="5" width="22.0"/>
    <col customWidth="1" min="6" max="8" width="18.0"/>
    <col customWidth="1" min="9" max="26" width="8.71"/>
  </cols>
  <sheetData>
    <row r="2" ht="25.5" customHeight="1">
      <c r="B2" s="5" t="s">
        <v>1</v>
      </c>
      <c r="C2" s="3"/>
      <c r="D2" s="3"/>
      <c r="E2" s="3"/>
      <c r="F2" s="3"/>
      <c r="G2" s="3"/>
      <c r="H2" s="6"/>
    </row>
    <row r="3">
      <c r="B3" s="9" t="s">
        <v>5</v>
      </c>
      <c r="C3" s="3"/>
      <c r="D3" s="3"/>
      <c r="E3" s="3"/>
      <c r="F3" s="3"/>
      <c r="G3" s="3"/>
      <c r="H3" s="6"/>
    </row>
    <row r="4">
      <c r="B4" s="12" t="s">
        <v>11</v>
      </c>
      <c r="C4" s="3"/>
      <c r="D4" s="3"/>
      <c r="E4" s="3"/>
      <c r="F4" s="3"/>
      <c r="G4" s="3"/>
      <c r="H4" s="6"/>
    </row>
    <row r="6">
      <c r="B6" s="18" t="s">
        <v>18</v>
      </c>
      <c r="C6" s="3"/>
      <c r="D6" s="3"/>
      <c r="E6" s="3"/>
      <c r="F6" s="3"/>
      <c r="G6" s="3"/>
      <c r="H6" s="6"/>
    </row>
    <row r="7" ht="39.75" customHeight="1">
      <c r="B7" s="21" t="s">
        <v>27</v>
      </c>
    </row>
    <row r="9">
      <c r="B9" s="18" t="s">
        <v>32</v>
      </c>
      <c r="C9" s="3"/>
      <c r="D9" s="3"/>
      <c r="E9" s="3"/>
      <c r="F9" s="3"/>
      <c r="G9" s="3"/>
      <c r="H9" s="6"/>
    </row>
    <row r="10" ht="25.5" customHeight="1">
      <c r="B10" s="21" t="s">
        <v>39</v>
      </c>
    </row>
    <row r="11" ht="25.5" customHeight="1">
      <c r="B11" s="21" t="s">
        <v>42</v>
      </c>
    </row>
    <row r="12" ht="25.5" customHeight="1">
      <c r="B12" s="21" t="s">
        <v>45</v>
      </c>
    </row>
    <row r="13" ht="25.5" customHeight="1">
      <c r="B13" s="21" t="s">
        <v>47</v>
      </c>
    </row>
    <row r="15">
      <c r="B15" s="18" t="s">
        <v>50</v>
      </c>
      <c r="C15" s="3"/>
      <c r="D15" s="3"/>
      <c r="E15" s="3"/>
      <c r="F15" s="3"/>
      <c r="G15" s="3"/>
      <c r="H15" s="6"/>
    </row>
    <row r="16">
      <c r="B16" s="8" t="s">
        <v>56</v>
      </c>
      <c r="C16" s="8" t="s">
        <v>59</v>
      </c>
      <c r="D16" s="32" t="s">
        <v>61</v>
      </c>
      <c r="E16" s="15"/>
      <c r="F16" s="15"/>
      <c r="G16" s="15"/>
      <c r="H16" s="33"/>
    </row>
    <row r="17" ht="27.75" customHeight="1">
      <c r="B17" s="35" t="s">
        <v>66</v>
      </c>
      <c r="C17" s="19" t="s">
        <v>69</v>
      </c>
      <c r="D17" s="36" t="s">
        <v>71</v>
      </c>
      <c r="E17" s="15"/>
      <c r="F17" s="15"/>
      <c r="G17" s="15"/>
      <c r="H17" s="15"/>
    </row>
    <row r="18" ht="27.75" customHeight="1">
      <c r="B18" s="35" t="s">
        <v>76</v>
      </c>
      <c r="C18" s="19" t="s">
        <v>79</v>
      </c>
      <c r="D18" s="36" t="s">
        <v>82</v>
      </c>
      <c r="E18" s="15"/>
      <c r="F18" s="15"/>
      <c r="G18" s="15"/>
      <c r="H18" s="15"/>
    </row>
    <row r="19" ht="27.75" customHeight="1">
      <c r="B19" s="35" t="s">
        <v>86</v>
      </c>
      <c r="C19" s="19" t="s">
        <v>87</v>
      </c>
      <c r="D19" s="36" t="s">
        <v>90</v>
      </c>
      <c r="E19" s="15"/>
      <c r="F19" s="15"/>
      <c r="G19" s="15"/>
      <c r="H19" s="15"/>
    </row>
    <row r="20" ht="27.75" customHeight="1">
      <c r="B20" s="35" t="s">
        <v>94</v>
      </c>
      <c r="C20" s="19" t="s">
        <v>95</v>
      </c>
      <c r="D20" s="36" t="s">
        <v>97</v>
      </c>
      <c r="E20" s="15"/>
      <c r="F20" s="15"/>
      <c r="G20" s="15"/>
      <c r="H20" s="15"/>
    </row>
    <row r="21" ht="15.75" customHeight="1"/>
    <row r="22" ht="15.75" customHeight="1">
      <c r="B22" s="18" t="s">
        <v>101</v>
      </c>
      <c r="C22" s="3"/>
      <c r="D22" s="3"/>
      <c r="E22" s="3"/>
      <c r="F22" s="3"/>
      <c r="G22" s="3"/>
      <c r="H22" s="6"/>
    </row>
    <row r="23" ht="15.75" customHeight="1">
      <c r="B23" s="44"/>
      <c r="C23" s="46" t="s">
        <v>104</v>
      </c>
      <c r="D23" s="15"/>
      <c r="E23" s="15"/>
      <c r="F23" s="15"/>
      <c r="G23" s="15"/>
      <c r="H23" s="15"/>
    </row>
    <row r="24" ht="15.75" customHeight="1">
      <c r="B24" s="48"/>
      <c r="C24" s="46" t="s">
        <v>110</v>
      </c>
      <c r="D24" s="15"/>
      <c r="E24" s="15"/>
      <c r="F24" s="15"/>
      <c r="G24" s="15"/>
      <c r="H24" s="15"/>
    </row>
    <row r="25" ht="15.75" customHeight="1">
      <c r="B25" s="49"/>
      <c r="C25" s="46" t="s">
        <v>114</v>
      </c>
      <c r="D25" s="15"/>
      <c r="E25" s="15"/>
      <c r="F25" s="15"/>
      <c r="G25" s="15"/>
      <c r="H25" s="15"/>
    </row>
    <row r="26" ht="15.75" customHeight="1">
      <c r="B26" s="51"/>
      <c r="C26" s="52" t="s">
        <v>116</v>
      </c>
      <c r="D26" s="15"/>
      <c r="E26" s="15"/>
      <c r="F26" s="15"/>
      <c r="G26" s="15"/>
      <c r="H26" s="16"/>
    </row>
    <row r="27" ht="15.75" customHeight="1"/>
    <row r="28" ht="15.75" customHeight="1">
      <c r="B28" s="18" t="s">
        <v>118</v>
      </c>
      <c r="C28" s="3"/>
      <c r="D28" s="3"/>
      <c r="E28" s="3"/>
      <c r="F28" s="3"/>
      <c r="G28" s="3"/>
      <c r="H28" s="6"/>
    </row>
    <row r="29" ht="25.5" customHeight="1">
      <c r="B29" s="21" t="s">
        <v>120</v>
      </c>
    </row>
    <row r="30" ht="25.5" customHeight="1">
      <c r="B30" s="21" t="s">
        <v>121</v>
      </c>
    </row>
    <row r="31" ht="25.5" customHeight="1">
      <c r="B31" s="21" t="s">
        <v>122</v>
      </c>
    </row>
    <row r="32" ht="25.5" customHeight="1">
      <c r="B32" s="21" t="s">
        <v>124</v>
      </c>
    </row>
    <row r="33" ht="25.5" customHeight="1">
      <c r="B33" s="21" t="s">
        <v>125</v>
      </c>
    </row>
    <row r="34" ht="15.75" customHeight="1"/>
    <row r="35" ht="15.75" customHeight="1">
      <c r="B35" s="57" t="s">
        <v>126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2:H2"/>
    <mergeCell ref="B3:H3"/>
    <mergeCell ref="B4:H4"/>
    <mergeCell ref="B6:H6"/>
    <mergeCell ref="B7:H7"/>
    <mergeCell ref="B9:H9"/>
    <mergeCell ref="B10:H10"/>
    <mergeCell ref="B11:H11"/>
    <mergeCell ref="B12:H12"/>
    <mergeCell ref="B13:H13"/>
    <mergeCell ref="B15:H15"/>
    <mergeCell ref="D16:H16"/>
    <mergeCell ref="D17:H17"/>
    <mergeCell ref="D18:H18"/>
    <mergeCell ref="B28:H28"/>
    <mergeCell ref="B29:H29"/>
    <mergeCell ref="B30:H30"/>
    <mergeCell ref="B31:H31"/>
    <mergeCell ref="B32:H32"/>
    <mergeCell ref="B33:H33"/>
    <mergeCell ref="B35:H35"/>
    <mergeCell ref="D19:H19"/>
    <mergeCell ref="D20:H20"/>
    <mergeCell ref="B22:H22"/>
    <mergeCell ref="C23:H23"/>
    <mergeCell ref="C24:H24"/>
    <mergeCell ref="C25:H25"/>
    <mergeCell ref="C26:H2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182C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32.86"/>
    <col customWidth="1" min="4" max="4" width="9.0"/>
    <col customWidth="1" min="5" max="6" width="7.0"/>
    <col customWidth="1" min="7" max="7" width="14.71"/>
    <col customWidth="1" min="8" max="8" width="15.29"/>
    <col customWidth="1" min="9" max="9" width="12.0"/>
    <col customWidth="1" min="10" max="11" width="11.0"/>
    <col customWidth="1" min="12" max="12" width="15.71"/>
    <col customWidth="1" min="13" max="13" width="14.43"/>
    <col customWidth="1" min="14" max="14" width="9.57"/>
    <col customWidth="1" min="15" max="16" width="12.0"/>
    <col customWidth="1" min="17" max="17" width="13.0"/>
    <col customWidth="1" min="18" max="18" width="12.0"/>
    <col customWidth="1" min="19" max="19" width="11.0"/>
    <col customWidth="1" min="20" max="20" width="10.43"/>
    <col customWidth="1" min="21" max="21" width="14.29"/>
    <col customWidth="1" min="22" max="22" width="30.0"/>
    <col customWidth="1" min="23" max="23" width="30.29"/>
    <col customWidth="1" min="24" max="28" width="8.71"/>
  </cols>
  <sheetData>
    <row r="1">
      <c r="A1" s="7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14"/>
    </row>
    <row r="2">
      <c r="A2" s="17" t="s">
        <v>16</v>
      </c>
      <c r="B2" s="3"/>
      <c r="C2" s="6"/>
      <c r="D2" s="17" t="s">
        <v>23</v>
      </c>
      <c r="E2" s="3"/>
      <c r="F2" s="3"/>
      <c r="G2" s="3"/>
      <c r="H2" s="6"/>
      <c r="I2" s="23" t="s">
        <v>29</v>
      </c>
      <c r="J2" s="3"/>
      <c r="K2" s="3"/>
      <c r="L2" s="3"/>
      <c r="M2" s="3"/>
      <c r="N2" s="3"/>
      <c r="O2" s="6"/>
      <c r="P2" s="26" t="s">
        <v>37</v>
      </c>
      <c r="Q2" s="3"/>
      <c r="R2" s="6"/>
      <c r="S2" s="28" t="s">
        <v>46</v>
      </c>
      <c r="T2" s="3"/>
      <c r="U2" s="6"/>
      <c r="V2" s="14"/>
      <c r="W2" s="14"/>
    </row>
    <row r="3" ht="33.75" customHeight="1">
      <c r="A3" s="31" t="s">
        <v>53</v>
      </c>
      <c r="B3" s="31" t="s">
        <v>58</v>
      </c>
      <c r="C3" s="31" t="s">
        <v>60</v>
      </c>
      <c r="D3" s="31" t="s">
        <v>62</v>
      </c>
      <c r="E3" s="31" t="s">
        <v>19</v>
      </c>
      <c r="F3" s="31" t="s">
        <v>21</v>
      </c>
      <c r="G3" s="31" t="s">
        <v>17</v>
      </c>
      <c r="H3" s="31" t="s">
        <v>65</v>
      </c>
      <c r="I3" s="31" t="s">
        <v>67</v>
      </c>
      <c r="J3" s="31" t="s">
        <v>25</v>
      </c>
      <c r="K3" s="31" t="s">
        <v>70</v>
      </c>
      <c r="L3" s="31" t="s">
        <v>72</v>
      </c>
      <c r="M3" s="37" t="s">
        <v>74</v>
      </c>
      <c r="N3" s="37" t="s">
        <v>75</v>
      </c>
      <c r="O3" s="31" t="s">
        <v>78</v>
      </c>
      <c r="P3" s="31" t="s">
        <v>80</v>
      </c>
      <c r="Q3" s="31" t="s">
        <v>83</v>
      </c>
      <c r="R3" s="31" t="s">
        <v>84</v>
      </c>
      <c r="S3" s="31" t="s">
        <v>85</v>
      </c>
      <c r="T3" s="31" t="s">
        <v>88</v>
      </c>
      <c r="U3" s="31" t="s">
        <v>91</v>
      </c>
      <c r="V3" s="31" t="s">
        <v>10</v>
      </c>
      <c r="W3" s="37" t="s">
        <v>92</v>
      </c>
    </row>
    <row r="4" ht="93.75" customHeight="1">
      <c r="A4" s="39" t="s">
        <v>51</v>
      </c>
      <c r="B4" s="41" t="s">
        <v>98</v>
      </c>
      <c r="C4" s="42" t="s">
        <v>100</v>
      </c>
      <c r="D4" s="43">
        <v>2.0</v>
      </c>
      <c r="E4" s="43">
        <v>4.0</v>
      </c>
      <c r="F4" s="43">
        <v>4.5</v>
      </c>
      <c r="G4" s="43" t="s">
        <v>57</v>
      </c>
      <c r="H4" s="43">
        <v>32.0</v>
      </c>
      <c r="I4" s="45">
        <v>321.621</v>
      </c>
      <c r="J4" s="45">
        <v>94.982</v>
      </c>
      <c r="K4" s="45">
        <v>29.0</v>
      </c>
      <c r="L4" s="45" t="s">
        <v>107</v>
      </c>
      <c r="M4" s="45">
        <v>21.28</v>
      </c>
      <c r="N4" s="45">
        <v>7.0</v>
      </c>
      <c r="O4" s="45">
        <v>421.223</v>
      </c>
      <c r="P4" s="50">
        <f t="shared" ref="P4:P8" si="1">SUM(I4:K4)</f>
        <v>445.603</v>
      </c>
      <c r="Q4" s="54">
        <f t="shared" ref="Q4:Q8" si="2">IFERROR(I4/O4,"")</f>
        <v>0.7635409273</v>
      </c>
      <c r="R4" s="50">
        <f t="shared" ref="R4:R8" si="3">IF(OR($H4="",I4=""),"",$H4*I4)</f>
        <v>10291.872</v>
      </c>
      <c r="S4" s="56"/>
      <c r="T4" s="60" t="str">
        <f t="shared" ref="T4:T8" si="4">IF(OR($S4="",$S4=0,P4=0),"",$S4*P4)</f>
        <v/>
      </c>
      <c r="U4" s="60" t="str">
        <f t="shared" ref="U4:U8" si="5">IF(OR($H4="",$T4=""),"",$H4*$T4)</f>
        <v/>
      </c>
      <c r="V4" s="64" t="s">
        <v>135</v>
      </c>
      <c r="W4" s="65" t="s">
        <v>137</v>
      </c>
    </row>
    <row r="5" ht="88.5" customHeight="1">
      <c r="A5" s="39" t="s">
        <v>139</v>
      </c>
      <c r="B5" s="41" t="s">
        <v>140</v>
      </c>
      <c r="C5" s="42" t="s">
        <v>142</v>
      </c>
      <c r="D5" s="43">
        <v>2.0</v>
      </c>
      <c r="E5" s="43">
        <v>3.0</v>
      </c>
      <c r="F5" s="43">
        <v>3.5</v>
      </c>
      <c r="G5" s="43" t="s">
        <v>57</v>
      </c>
      <c r="H5" s="43">
        <v>14.0</v>
      </c>
      <c r="I5" s="45">
        <v>179.174</v>
      </c>
      <c r="J5" s="45">
        <v>89.0</v>
      </c>
      <c r="K5" s="45">
        <v>33.0</v>
      </c>
      <c r="L5" s="45" t="s">
        <v>107</v>
      </c>
      <c r="M5" s="45">
        <v>12.0</v>
      </c>
      <c r="N5" s="45">
        <v>4.0</v>
      </c>
      <c r="O5" s="45">
        <v>261.495</v>
      </c>
      <c r="P5" s="50">
        <f t="shared" si="1"/>
        <v>301.174</v>
      </c>
      <c r="Q5" s="54">
        <f t="shared" si="2"/>
        <v>0.6851909214</v>
      </c>
      <c r="R5" s="50">
        <f t="shared" si="3"/>
        <v>2508.436</v>
      </c>
      <c r="S5" s="56"/>
      <c r="T5" s="60" t="str">
        <f t="shared" si="4"/>
        <v/>
      </c>
      <c r="U5" s="60" t="str">
        <f t="shared" si="5"/>
        <v/>
      </c>
      <c r="V5" s="64" t="s">
        <v>154</v>
      </c>
      <c r="W5" s="65" t="s">
        <v>137</v>
      </c>
    </row>
    <row r="6" ht="103.5" customHeight="1">
      <c r="A6" s="39" t="s">
        <v>156</v>
      </c>
      <c r="B6" s="41" t="s">
        <v>158</v>
      </c>
      <c r="C6" s="42" t="s">
        <v>159</v>
      </c>
      <c r="D6" s="43">
        <v>1.0</v>
      </c>
      <c r="E6" s="44">
        <v>2.0</v>
      </c>
      <c r="F6" s="43">
        <v>2.5</v>
      </c>
      <c r="G6" s="43" t="s">
        <v>57</v>
      </c>
      <c r="H6" s="43">
        <v>24.0</v>
      </c>
      <c r="I6" s="45">
        <v>154.388</v>
      </c>
      <c r="J6" s="45">
        <v>48.0</v>
      </c>
      <c r="K6" s="45">
        <v>31.0</v>
      </c>
      <c r="L6" s="45" t="s">
        <v>107</v>
      </c>
      <c r="M6" s="45">
        <v>12.0</v>
      </c>
      <c r="N6" s="45">
        <v>4.0</v>
      </c>
      <c r="O6" s="45">
        <v>185.0</v>
      </c>
      <c r="P6" s="50">
        <f t="shared" si="1"/>
        <v>233.388</v>
      </c>
      <c r="Q6" s="54">
        <f t="shared" si="2"/>
        <v>0.8345297297</v>
      </c>
      <c r="R6" s="50">
        <f t="shared" si="3"/>
        <v>3705.312</v>
      </c>
      <c r="S6" s="56"/>
      <c r="T6" s="60" t="str">
        <f t="shared" si="4"/>
        <v/>
      </c>
      <c r="U6" s="60" t="str">
        <f t="shared" si="5"/>
        <v/>
      </c>
      <c r="V6" s="64" t="s">
        <v>168</v>
      </c>
      <c r="W6" s="65" t="s">
        <v>137</v>
      </c>
    </row>
    <row r="7" ht="90.0" customHeight="1">
      <c r="A7" s="39" t="s">
        <v>170</v>
      </c>
      <c r="B7" s="41" t="s">
        <v>171</v>
      </c>
      <c r="C7" s="42" t="s">
        <v>173</v>
      </c>
      <c r="D7" s="43">
        <v>1.0</v>
      </c>
      <c r="E7" s="43">
        <v>2.0</v>
      </c>
      <c r="F7" s="43">
        <v>2.0</v>
      </c>
      <c r="G7" s="43" t="s">
        <v>57</v>
      </c>
      <c r="H7" s="43">
        <v>84.0</v>
      </c>
      <c r="I7" s="45">
        <v>94.789</v>
      </c>
      <c r="J7" s="45">
        <v>83.65</v>
      </c>
      <c r="K7" s="45">
        <v>17.125</v>
      </c>
      <c r="L7" s="45" t="s">
        <v>107</v>
      </c>
      <c r="M7" s="45">
        <v>17.8</v>
      </c>
      <c r="N7" s="45">
        <v>2.011</v>
      </c>
      <c r="O7" s="45">
        <v>108.863</v>
      </c>
      <c r="P7" s="50">
        <f t="shared" si="1"/>
        <v>195.564</v>
      </c>
      <c r="Q7" s="54">
        <f t="shared" si="2"/>
        <v>0.8707182422</v>
      </c>
      <c r="R7" s="50">
        <f t="shared" si="3"/>
        <v>7962.276</v>
      </c>
      <c r="S7" s="56"/>
      <c r="T7" s="60" t="str">
        <f t="shared" si="4"/>
        <v/>
      </c>
      <c r="U7" s="60" t="str">
        <f t="shared" si="5"/>
        <v/>
      </c>
      <c r="V7" s="64" t="s">
        <v>180</v>
      </c>
      <c r="W7" s="73" t="s">
        <v>181</v>
      </c>
    </row>
    <row r="8" ht="109.5" customHeight="1">
      <c r="A8" s="39" t="s">
        <v>184</v>
      </c>
      <c r="B8" s="41" t="s">
        <v>185</v>
      </c>
      <c r="C8" s="42" t="s">
        <v>186</v>
      </c>
      <c r="D8" s="43">
        <v>2.0</v>
      </c>
      <c r="E8" s="43">
        <v>3.0</v>
      </c>
      <c r="F8" s="43">
        <v>3.0</v>
      </c>
      <c r="G8" s="43" t="s">
        <v>57</v>
      </c>
      <c r="H8" s="43">
        <v>79.0</v>
      </c>
      <c r="I8" s="45">
        <v>130.044</v>
      </c>
      <c r="J8" s="45">
        <v>91.53</v>
      </c>
      <c r="K8" s="45">
        <v>17.05</v>
      </c>
      <c r="L8" s="45" t="s">
        <v>107</v>
      </c>
      <c r="M8" s="45">
        <v>27.563</v>
      </c>
      <c r="N8" s="45">
        <v>2.011</v>
      </c>
      <c r="O8" s="45">
        <v>163.537</v>
      </c>
      <c r="P8" s="50">
        <f t="shared" si="1"/>
        <v>238.624</v>
      </c>
      <c r="Q8" s="54">
        <f t="shared" si="2"/>
        <v>0.7951961941</v>
      </c>
      <c r="R8" s="50">
        <f t="shared" si="3"/>
        <v>10273.476</v>
      </c>
      <c r="S8" s="56"/>
      <c r="T8" s="60" t="str">
        <f t="shared" si="4"/>
        <v/>
      </c>
      <c r="U8" s="60" t="str">
        <f t="shared" si="5"/>
        <v/>
      </c>
      <c r="V8" s="64" t="s">
        <v>194</v>
      </c>
      <c r="W8" s="73" t="s">
        <v>181</v>
      </c>
    </row>
    <row r="9">
      <c r="A9" s="74" t="s">
        <v>195</v>
      </c>
      <c r="B9" s="75"/>
      <c r="C9" s="75"/>
      <c r="D9" s="75"/>
      <c r="E9" s="75"/>
      <c r="F9" s="75"/>
      <c r="G9" s="75"/>
      <c r="H9" s="76">
        <f>SUM(H4:H8)</f>
        <v>233</v>
      </c>
      <c r="I9" s="75"/>
      <c r="J9" s="75"/>
      <c r="K9" s="75"/>
      <c r="L9" s="75"/>
      <c r="M9" s="75"/>
      <c r="N9" s="75"/>
      <c r="O9" s="75"/>
      <c r="P9" s="75"/>
      <c r="Q9" s="78">
        <f>IFERROR(SUMPRODUCT($H4:$H8,$I4:$I8)/SUMPRODUCT($H4:$H8,$O4:$O8),"")</f>
        <v>0.7960174852</v>
      </c>
      <c r="R9" s="79">
        <f>SUM(R4:R8)</f>
        <v>34741.372</v>
      </c>
      <c r="S9" s="75"/>
      <c r="T9" s="75"/>
      <c r="U9" s="81">
        <f>SUM(U4:U8)</f>
        <v>0</v>
      </c>
      <c r="V9" s="83" t="s">
        <v>202</v>
      </c>
      <c r="W9" s="83"/>
    </row>
    <row r="11" ht="25.5" customHeight="1">
      <c r="A11" s="84" t="s">
        <v>206</v>
      </c>
    </row>
    <row r="12">
      <c r="A12" s="57" t="s">
        <v>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V1"/>
    <mergeCell ref="A2:C2"/>
    <mergeCell ref="D2:H2"/>
    <mergeCell ref="I2:O2"/>
    <mergeCell ref="P2:R2"/>
    <mergeCell ref="S2:U2"/>
    <mergeCell ref="A11:V11"/>
    <mergeCell ref="A12:V1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9.0"/>
    <col customWidth="1" min="4" max="4" width="8.0"/>
    <col customWidth="1" min="5" max="5" width="35.29"/>
    <col customWidth="1" min="6" max="7" width="6.0"/>
    <col customWidth="1" min="8" max="9" width="10.0"/>
    <col customWidth="1" min="10" max="10" width="11.0"/>
    <col customWidth="1" min="11" max="11" width="13.0"/>
    <col customWidth="1" min="12" max="12" width="8.0"/>
    <col customWidth="1" min="13" max="13" width="11.0"/>
    <col customWidth="1" min="14" max="14" width="13.0"/>
    <col customWidth="1" min="15" max="15" width="11.0"/>
    <col customWidth="1" min="16" max="16" width="16.0"/>
    <col customWidth="1" min="17" max="17" width="65.43"/>
    <col customWidth="1" min="18" max="18" width="8.71"/>
    <col customWidth="1" min="19" max="19" width="9.29"/>
    <col customWidth="1" min="20" max="26" width="8.71"/>
  </cols>
  <sheetData>
    <row r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"/>
    </row>
    <row r="2" ht="30.0" customHeight="1">
      <c r="A2" s="11" t="s">
        <v>9</v>
      </c>
      <c r="B2" s="11" t="s">
        <v>13</v>
      </c>
      <c r="C2" s="11" t="s">
        <v>14</v>
      </c>
      <c r="D2" s="11" t="s">
        <v>15</v>
      </c>
      <c r="E2" s="11" t="s">
        <v>17</v>
      </c>
      <c r="F2" s="11" t="s">
        <v>19</v>
      </c>
      <c r="G2" s="11" t="s">
        <v>21</v>
      </c>
      <c r="H2" s="11" t="s">
        <v>22</v>
      </c>
      <c r="I2" s="11" t="s">
        <v>25</v>
      </c>
      <c r="J2" s="11" t="s">
        <v>26</v>
      </c>
      <c r="K2" s="11" t="s">
        <v>28</v>
      </c>
      <c r="L2" s="11" t="s">
        <v>30</v>
      </c>
      <c r="M2" s="11" t="s">
        <v>33</v>
      </c>
      <c r="N2" s="11" t="s">
        <v>34</v>
      </c>
      <c r="O2" s="11" t="s">
        <v>36</v>
      </c>
      <c r="P2" s="11" t="s">
        <v>38</v>
      </c>
      <c r="Q2" s="11" t="s">
        <v>40</v>
      </c>
    </row>
    <row r="3">
      <c r="A3" s="27" t="s">
        <v>43</v>
      </c>
      <c r="B3" s="29" t="s">
        <v>51</v>
      </c>
      <c r="C3" s="30" t="s">
        <v>52</v>
      </c>
      <c r="D3" s="30">
        <v>2.0</v>
      </c>
      <c r="E3" s="30" t="s">
        <v>57</v>
      </c>
      <c r="F3" s="38">
        <f>IFERROR(VLOOKUP($B3,Tipologias!$A$4:$V$8,5,0),"")</f>
        <v>4</v>
      </c>
      <c r="G3" s="38">
        <f>IFERROR(VLOOKUP($B3,Tipologias!$A$4:$V$8,6,0),"")</f>
        <v>4.5</v>
      </c>
      <c r="H3" s="40">
        <f>IFERROR(VLOOKUP($B3,Tipologias!$A$4:$V$8,9,0),"")</f>
        <v>321.621</v>
      </c>
      <c r="I3" s="40">
        <f>IFERROR(VLOOKUP($B3,Tipologias!$A$4:$V$8,10,0),"")</f>
        <v>94.982</v>
      </c>
      <c r="J3" s="40">
        <f>IFERROR(VLOOKUP($B3,Tipologias!$A$4:$V$8,16,0),"")</f>
        <v>445.603</v>
      </c>
      <c r="K3" s="30" t="s">
        <v>105</v>
      </c>
      <c r="L3" s="47"/>
      <c r="M3" s="53" t="str">
        <f>IFERROR(VLOOKUP($B3,Tipologias!$A$4:$V$8,19,0),"")</f>
        <v/>
      </c>
      <c r="N3" s="53" t="str">
        <f t="shared" ref="N3:N235" si="1">IF(OR($M3="",$J3=""),"",$M3*$J3)</f>
        <v/>
      </c>
      <c r="O3" s="53"/>
      <c r="P3" s="47"/>
      <c r="Q3" s="58" t="s">
        <v>128</v>
      </c>
      <c r="R3" s="59"/>
    </row>
    <row r="4">
      <c r="A4" s="61" t="s">
        <v>131</v>
      </c>
      <c r="B4" s="62" t="s">
        <v>51</v>
      </c>
      <c r="C4" s="63" t="s">
        <v>52</v>
      </c>
      <c r="D4" s="63">
        <v>2.0</v>
      </c>
      <c r="E4" s="63" t="s">
        <v>57</v>
      </c>
      <c r="F4" s="66">
        <f>IFERROR(VLOOKUP($B4,Tipologias!$A$4:$V$8,5,0),"")</f>
        <v>4</v>
      </c>
      <c r="G4" s="66">
        <f>IFERROR(VLOOKUP($B4,Tipologias!$A$4:$V$8,6,0),"")</f>
        <v>4.5</v>
      </c>
      <c r="H4" s="67">
        <f>IFERROR(VLOOKUP($B4,Tipologias!$A$4:$V$8,9,0),"")</f>
        <v>321.621</v>
      </c>
      <c r="I4" s="67">
        <f>IFERROR(VLOOKUP($B4,Tipologias!$A$4:$V$8,10,0),"")</f>
        <v>94.982</v>
      </c>
      <c r="J4" s="67">
        <f>IFERROR(VLOOKUP($B4,Tipologias!$A$4:$V$8,16,0),"")</f>
        <v>445.603</v>
      </c>
      <c r="K4" s="63" t="s">
        <v>105</v>
      </c>
      <c r="L4" s="68"/>
      <c r="M4" s="69" t="str">
        <f>IFERROR(VLOOKUP($B4,Tipologias!$A$4:$V$8,19,0),"")</f>
        <v/>
      </c>
      <c r="N4" s="69" t="str">
        <f t="shared" si="1"/>
        <v/>
      </c>
      <c r="O4" s="69"/>
      <c r="P4" s="68"/>
      <c r="Q4" s="70" t="s">
        <v>163</v>
      </c>
      <c r="R4" s="59"/>
      <c r="S4" s="71"/>
      <c r="T4" s="71"/>
    </row>
    <row r="5">
      <c r="A5" s="72" t="s">
        <v>167</v>
      </c>
      <c r="B5" s="62" t="s">
        <v>51</v>
      </c>
      <c r="C5" s="63" t="s">
        <v>52</v>
      </c>
      <c r="D5" s="63">
        <v>2.0</v>
      </c>
      <c r="E5" s="63" t="s">
        <v>57</v>
      </c>
      <c r="F5" s="66">
        <f>IFERROR(VLOOKUP($B5,Tipologias!$A$4:$V$8,5,0),"")</f>
        <v>4</v>
      </c>
      <c r="G5" s="66">
        <f>IFERROR(VLOOKUP($B5,Tipologias!$A$4:$V$8,6,0),"")</f>
        <v>4.5</v>
      </c>
      <c r="H5" s="67">
        <f>IFERROR(VLOOKUP($B5,Tipologias!$A$4:$V$8,9,0),"")</f>
        <v>321.621</v>
      </c>
      <c r="I5" s="67">
        <f>IFERROR(VLOOKUP($B5,Tipologias!$A$4:$V$8,10,0),"")</f>
        <v>94.982</v>
      </c>
      <c r="J5" s="67">
        <f>IFERROR(VLOOKUP($B5,Tipologias!$A$4:$V$8,16,0),"")</f>
        <v>445.603</v>
      </c>
      <c r="K5" s="63" t="s">
        <v>105</v>
      </c>
      <c r="L5" s="68"/>
      <c r="M5" s="69" t="str">
        <f>IFERROR(VLOOKUP($B5,Tipologias!$A$4:$V$8,19,0),"")</f>
        <v/>
      </c>
      <c r="N5" s="69" t="str">
        <f t="shared" si="1"/>
        <v/>
      </c>
      <c r="O5" s="69"/>
      <c r="P5" s="68"/>
      <c r="Q5" s="70" t="s">
        <v>188</v>
      </c>
      <c r="R5" s="59"/>
      <c r="S5" s="71"/>
      <c r="T5" s="71"/>
    </row>
    <row r="6">
      <c r="A6" s="72" t="s">
        <v>191</v>
      </c>
      <c r="B6" s="62" t="s">
        <v>51</v>
      </c>
      <c r="C6" s="63" t="s">
        <v>52</v>
      </c>
      <c r="D6" s="63">
        <v>2.0</v>
      </c>
      <c r="E6" s="63" t="s">
        <v>57</v>
      </c>
      <c r="F6" s="66">
        <f>IFERROR(VLOOKUP($B6,Tipologias!$A$4:$V$8,5,0),"")</f>
        <v>4</v>
      </c>
      <c r="G6" s="66">
        <f>IFERROR(VLOOKUP($B6,Tipologias!$A$4:$V$8,6,0),"")</f>
        <v>4.5</v>
      </c>
      <c r="H6" s="67">
        <f>IFERROR(VLOOKUP($B6,Tipologias!$A$4:$V$8,9,0),"")</f>
        <v>321.621</v>
      </c>
      <c r="I6" s="67">
        <f>IFERROR(VLOOKUP($B6,Tipologias!$A$4:$V$8,10,0),"")</f>
        <v>94.982</v>
      </c>
      <c r="J6" s="67">
        <f>IFERROR(VLOOKUP($B6,Tipologias!$A$4:$V$8,16,0),"")</f>
        <v>445.603</v>
      </c>
      <c r="K6" s="63" t="s">
        <v>105</v>
      </c>
      <c r="L6" s="68"/>
      <c r="M6" s="69" t="str">
        <f>IFERROR(VLOOKUP($B6,Tipologias!$A$4:$V$8,19,0),"")</f>
        <v/>
      </c>
      <c r="N6" s="69" t="str">
        <f t="shared" si="1"/>
        <v/>
      </c>
      <c r="O6" s="69"/>
      <c r="P6" s="68"/>
      <c r="Q6" s="77" t="s">
        <v>196</v>
      </c>
      <c r="R6" s="59"/>
      <c r="S6" s="71"/>
      <c r="T6" s="71"/>
    </row>
    <row r="7">
      <c r="A7" s="72" t="s">
        <v>197</v>
      </c>
      <c r="B7" s="62" t="s">
        <v>51</v>
      </c>
      <c r="C7" s="63" t="s">
        <v>52</v>
      </c>
      <c r="D7" s="63">
        <v>2.0</v>
      </c>
      <c r="E7" s="63" t="s">
        <v>57</v>
      </c>
      <c r="F7" s="66">
        <f>IFERROR(VLOOKUP($B7,Tipologias!$A$4:$V$8,5,0),"")</f>
        <v>4</v>
      </c>
      <c r="G7" s="66">
        <f>IFERROR(VLOOKUP($B7,Tipologias!$A$4:$V$8,6,0),"")</f>
        <v>4.5</v>
      </c>
      <c r="H7" s="67">
        <f>IFERROR(VLOOKUP($B7,Tipologias!$A$4:$V$8,9,0),"")</f>
        <v>321.621</v>
      </c>
      <c r="I7" s="67">
        <f>IFERROR(VLOOKUP($B7,Tipologias!$A$4:$V$8,10,0),"")</f>
        <v>94.982</v>
      </c>
      <c r="J7" s="67">
        <f>IFERROR(VLOOKUP($B7,Tipologias!$A$4:$V$8,16,0),"")</f>
        <v>445.603</v>
      </c>
      <c r="K7" s="63" t="s">
        <v>105</v>
      </c>
      <c r="L7" s="68"/>
      <c r="M7" s="69" t="str">
        <f>IFERROR(VLOOKUP($B7,Tipologias!$A$4:$V$8,19,0),"")</f>
        <v/>
      </c>
      <c r="N7" s="69" t="str">
        <f t="shared" si="1"/>
        <v/>
      </c>
      <c r="O7" s="69"/>
      <c r="P7" s="68"/>
      <c r="Q7" s="77" t="s">
        <v>217</v>
      </c>
      <c r="R7" s="59"/>
      <c r="S7" s="71"/>
      <c r="T7" s="85"/>
    </row>
    <row r="8">
      <c r="A8" s="72" t="s">
        <v>220</v>
      </c>
      <c r="B8" s="62" t="s">
        <v>51</v>
      </c>
      <c r="C8" s="63" t="s">
        <v>52</v>
      </c>
      <c r="D8" s="63">
        <v>2.0</v>
      </c>
      <c r="E8" s="63" t="s">
        <v>57</v>
      </c>
      <c r="F8" s="66">
        <f>IFERROR(VLOOKUP($B8,Tipologias!$A$4:$V$8,5,0),"")</f>
        <v>4</v>
      </c>
      <c r="G8" s="66">
        <f>IFERROR(VLOOKUP($B8,Tipologias!$A$4:$V$8,6,0),"")</f>
        <v>4.5</v>
      </c>
      <c r="H8" s="67">
        <f>IFERROR(VLOOKUP($B8,Tipologias!$A$4:$V$8,9,0),"")</f>
        <v>321.621</v>
      </c>
      <c r="I8" s="67">
        <f>IFERROR(VLOOKUP($B8,Tipologias!$A$4:$V$8,10,0),"")</f>
        <v>94.982</v>
      </c>
      <c r="J8" s="67">
        <f>IFERROR(VLOOKUP($B8,Tipologias!$A$4:$V$8,16,0),"")</f>
        <v>445.603</v>
      </c>
      <c r="K8" s="63" t="s">
        <v>105</v>
      </c>
      <c r="L8" s="68"/>
      <c r="M8" s="69" t="str">
        <f>IFERROR(VLOOKUP($B8,Tipologias!$A$4:$V$8,19,0),"")</f>
        <v/>
      </c>
      <c r="N8" s="69" t="str">
        <f t="shared" si="1"/>
        <v/>
      </c>
      <c r="O8" s="69"/>
      <c r="P8" s="68"/>
      <c r="Q8" s="77" t="s">
        <v>245</v>
      </c>
      <c r="R8" s="59"/>
      <c r="S8" s="71"/>
      <c r="T8" s="71"/>
    </row>
    <row r="9">
      <c r="A9" s="72" t="s">
        <v>248</v>
      </c>
      <c r="B9" s="62" t="s">
        <v>51</v>
      </c>
      <c r="C9" s="63" t="s">
        <v>52</v>
      </c>
      <c r="D9" s="63">
        <v>2.0</v>
      </c>
      <c r="E9" s="63" t="s">
        <v>57</v>
      </c>
      <c r="F9" s="66">
        <f>IFERROR(VLOOKUP($B9,Tipologias!$A$4:$V$8,5,0),"")</f>
        <v>4</v>
      </c>
      <c r="G9" s="66">
        <f>IFERROR(VLOOKUP($B9,Tipologias!$A$4:$V$8,6,0),"")</f>
        <v>4.5</v>
      </c>
      <c r="H9" s="67">
        <f>IFERROR(VLOOKUP($B9,Tipologias!$A$4:$V$8,9,0),"")</f>
        <v>321.621</v>
      </c>
      <c r="I9" s="67">
        <f>IFERROR(VLOOKUP($B9,Tipologias!$A$4:$V$8,10,0),"")</f>
        <v>94.982</v>
      </c>
      <c r="J9" s="67">
        <f>IFERROR(VLOOKUP($B9,Tipologias!$A$4:$V$8,16,0),"")</f>
        <v>445.603</v>
      </c>
      <c r="K9" s="63" t="s">
        <v>105</v>
      </c>
      <c r="L9" s="68"/>
      <c r="M9" s="69" t="str">
        <f>IFERROR(VLOOKUP($B9,Tipologias!$A$4:$V$8,19,0),"")</f>
        <v/>
      </c>
      <c r="N9" s="69" t="str">
        <f t="shared" si="1"/>
        <v/>
      </c>
      <c r="O9" s="69"/>
      <c r="P9" s="68"/>
      <c r="Q9" s="77" t="s">
        <v>250</v>
      </c>
      <c r="R9" s="59"/>
      <c r="S9" s="71"/>
      <c r="T9" s="71"/>
    </row>
    <row r="10">
      <c r="A10" s="72" t="s">
        <v>251</v>
      </c>
      <c r="B10" s="62" t="s">
        <v>51</v>
      </c>
      <c r="C10" s="63" t="s">
        <v>52</v>
      </c>
      <c r="D10" s="63">
        <v>2.0</v>
      </c>
      <c r="E10" s="63" t="s">
        <v>57</v>
      </c>
      <c r="F10" s="66">
        <f>IFERROR(VLOOKUP($B10,Tipologias!$A$4:$V$8,5,0),"")</f>
        <v>4</v>
      </c>
      <c r="G10" s="66">
        <f>IFERROR(VLOOKUP($B10,Tipologias!$A$4:$V$8,6,0),"")</f>
        <v>4.5</v>
      </c>
      <c r="H10" s="67">
        <f>IFERROR(VLOOKUP($B10,Tipologias!$A$4:$V$8,9,0),"")</f>
        <v>321.621</v>
      </c>
      <c r="I10" s="67">
        <f>IFERROR(VLOOKUP($B10,Tipologias!$A$4:$V$8,10,0),"")</f>
        <v>94.982</v>
      </c>
      <c r="J10" s="67">
        <f>IFERROR(VLOOKUP($B10,Tipologias!$A$4:$V$8,16,0),"")</f>
        <v>445.603</v>
      </c>
      <c r="K10" s="63" t="s">
        <v>105</v>
      </c>
      <c r="L10" s="68"/>
      <c r="M10" s="69" t="str">
        <f>IFERROR(VLOOKUP($B10,Tipologias!$A$4:$V$8,19,0),"")</f>
        <v/>
      </c>
      <c r="N10" s="69" t="str">
        <f t="shared" si="1"/>
        <v/>
      </c>
      <c r="O10" s="69"/>
      <c r="P10" s="68"/>
      <c r="Q10" s="70" t="s">
        <v>252</v>
      </c>
      <c r="R10" s="59"/>
      <c r="S10" s="71"/>
      <c r="T10" s="85"/>
    </row>
    <row r="11">
      <c r="A11" s="72" t="s">
        <v>253</v>
      </c>
      <c r="B11" s="62" t="s">
        <v>51</v>
      </c>
      <c r="C11" s="63" t="s">
        <v>52</v>
      </c>
      <c r="D11" s="63">
        <v>2.0</v>
      </c>
      <c r="E11" s="63" t="s">
        <v>57</v>
      </c>
      <c r="F11" s="66">
        <f>IFERROR(VLOOKUP($B11,Tipologias!$A$4:$V$8,5,0),"")</f>
        <v>4</v>
      </c>
      <c r="G11" s="66">
        <f>IFERROR(VLOOKUP($B11,Tipologias!$A$4:$V$8,6,0),"")</f>
        <v>4.5</v>
      </c>
      <c r="H11" s="67">
        <f>IFERROR(VLOOKUP($B11,Tipologias!$A$4:$V$8,9,0),"")</f>
        <v>321.621</v>
      </c>
      <c r="I11" s="67">
        <f>IFERROR(VLOOKUP($B11,Tipologias!$A$4:$V$8,10,0),"")</f>
        <v>94.982</v>
      </c>
      <c r="J11" s="67">
        <f>IFERROR(VLOOKUP($B11,Tipologias!$A$4:$V$8,16,0),"")</f>
        <v>445.603</v>
      </c>
      <c r="K11" s="63" t="s">
        <v>105</v>
      </c>
      <c r="L11" s="68"/>
      <c r="M11" s="69" t="str">
        <f>IFERROR(VLOOKUP($B11,Tipologias!$A$4:$V$8,19,0),"")</f>
        <v/>
      </c>
      <c r="N11" s="69" t="str">
        <f t="shared" si="1"/>
        <v/>
      </c>
      <c r="O11" s="69"/>
      <c r="P11" s="68"/>
      <c r="Q11" s="70" t="s">
        <v>254</v>
      </c>
      <c r="R11" s="59"/>
    </row>
    <row r="12">
      <c r="A12" s="72" t="s">
        <v>255</v>
      </c>
      <c r="B12" s="62" t="s">
        <v>51</v>
      </c>
      <c r="C12" s="63" t="s">
        <v>52</v>
      </c>
      <c r="D12" s="63">
        <v>2.0</v>
      </c>
      <c r="E12" s="63" t="s">
        <v>57</v>
      </c>
      <c r="F12" s="66">
        <f>IFERROR(VLOOKUP($B12,Tipologias!$A$4:$V$8,5,0),"")</f>
        <v>4</v>
      </c>
      <c r="G12" s="66">
        <f>IFERROR(VLOOKUP($B12,Tipologias!$A$4:$V$8,6,0),"")</f>
        <v>4.5</v>
      </c>
      <c r="H12" s="67">
        <f>IFERROR(VLOOKUP($B12,Tipologias!$A$4:$V$8,9,0),"")</f>
        <v>321.621</v>
      </c>
      <c r="I12" s="67">
        <f>IFERROR(VLOOKUP($B12,Tipologias!$A$4:$V$8,10,0),"")</f>
        <v>94.982</v>
      </c>
      <c r="J12" s="67">
        <f>IFERROR(VLOOKUP($B12,Tipologias!$A$4:$V$8,16,0),"")</f>
        <v>445.603</v>
      </c>
      <c r="K12" s="63" t="s">
        <v>105</v>
      </c>
      <c r="L12" s="68"/>
      <c r="M12" s="69" t="str">
        <f>IFERROR(VLOOKUP($B12,Tipologias!$A$4:$V$8,19,0),"")</f>
        <v/>
      </c>
      <c r="N12" s="69" t="str">
        <f t="shared" si="1"/>
        <v/>
      </c>
      <c r="O12" s="69"/>
      <c r="P12" s="68"/>
      <c r="Q12" s="70" t="s">
        <v>256</v>
      </c>
      <c r="R12" s="59"/>
    </row>
    <row r="13">
      <c r="A13" s="72" t="s">
        <v>257</v>
      </c>
      <c r="B13" s="62" t="s">
        <v>51</v>
      </c>
      <c r="C13" s="63" t="s">
        <v>52</v>
      </c>
      <c r="D13" s="63">
        <v>2.0</v>
      </c>
      <c r="E13" s="63" t="s">
        <v>57</v>
      </c>
      <c r="F13" s="66">
        <f>IFERROR(VLOOKUP($B13,Tipologias!$A$4:$V$8,5,0),"")</f>
        <v>4</v>
      </c>
      <c r="G13" s="66">
        <f>IFERROR(VLOOKUP($B13,Tipologias!$A$4:$V$8,6,0),"")</f>
        <v>4.5</v>
      </c>
      <c r="H13" s="67">
        <f>IFERROR(VLOOKUP($B13,Tipologias!$A$4:$V$8,9,0),"")</f>
        <v>321.621</v>
      </c>
      <c r="I13" s="67">
        <f>IFERROR(VLOOKUP($B13,Tipologias!$A$4:$V$8,10,0),"")</f>
        <v>94.982</v>
      </c>
      <c r="J13" s="67">
        <f>IFERROR(VLOOKUP($B13,Tipologias!$A$4:$V$8,16,0),"")</f>
        <v>445.603</v>
      </c>
      <c r="K13" s="63" t="s">
        <v>105</v>
      </c>
      <c r="L13" s="68"/>
      <c r="M13" s="69" t="str">
        <f>IFERROR(VLOOKUP($B13,Tipologias!$A$4:$V$8,19,0),"")</f>
        <v/>
      </c>
      <c r="N13" s="69" t="str">
        <f t="shared" si="1"/>
        <v/>
      </c>
      <c r="O13" s="69"/>
      <c r="P13" s="68"/>
      <c r="Q13" s="77" t="s">
        <v>258</v>
      </c>
      <c r="R13" s="59"/>
    </row>
    <row r="14">
      <c r="A14" s="72" t="s">
        <v>259</v>
      </c>
      <c r="B14" s="62" t="s">
        <v>51</v>
      </c>
      <c r="C14" s="63" t="s">
        <v>52</v>
      </c>
      <c r="D14" s="63">
        <v>2.0</v>
      </c>
      <c r="E14" s="63" t="s">
        <v>57</v>
      </c>
      <c r="F14" s="66">
        <f>IFERROR(VLOOKUP($B14,Tipologias!$A$4:$V$8,5,0),"")</f>
        <v>4</v>
      </c>
      <c r="G14" s="66">
        <f>IFERROR(VLOOKUP($B14,Tipologias!$A$4:$V$8,6,0),"")</f>
        <v>4.5</v>
      </c>
      <c r="H14" s="67">
        <f>IFERROR(VLOOKUP($B14,Tipologias!$A$4:$V$8,9,0),"")</f>
        <v>321.621</v>
      </c>
      <c r="I14" s="67">
        <f>IFERROR(VLOOKUP($B14,Tipologias!$A$4:$V$8,10,0),"")</f>
        <v>94.982</v>
      </c>
      <c r="J14" s="67">
        <f>IFERROR(VLOOKUP($B14,Tipologias!$A$4:$V$8,16,0),"")</f>
        <v>445.603</v>
      </c>
      <c r="K14" s="63" t="s">
        <v>105</v>
      </c>
      <c r="L14" s="68"/>
      <c r="M14" s="69" t="str">
        <f>IFERROR(VLOOKUP($B14,Tipologias!$A$4:$V$8,19,0),"")</f>
        <v/>
      </c>
      <c r="N14" s="69" t="str">
        <f t="shared" si="1"/>
        <v/>
      </c>
      <c r="O14" s="69"/>
      <c r="P14" s="68"/>
      <c r="Q14" s="70" t="s">
        <v>260</v>
      </c>
      <c r="R14" s="59"/>
    </row>
    <row r="15">
      <c r="A15" s="72" t="s">
        <v>261</v>
      </c>
      <c r="B15" s="62" t="s">
        <v>51</v>
      </c>
      <c r="C15" s="63" t="s">
        <v>52</v>
      </c>
      <c r="D15" s="63">
        <v>2.0</v>
      </c>
      <c r="E15" s="63" t="s">
        <v>57</v>
      </c>
      <c r="F15" s="66">
        <f>IFERROR(VLOOKUP($B15,Tipologias!$A$4:$V$8,5,0),"")</f>
        <v>4</v>
      </c>
      <c r="G15" s="66">
        <f>IFERROR(VLOOKUP($B15,Tipologias!$A$4:$V$8,6,0),"")</f>
        <v>4.5</v>
      </c>
      <c r="H15" s="67">
        <f>IFERROR(VLOOKUP($B15,Tipologias!$A$4:$V$8,9,0),"")</f>
        <v>321.621</v>
      </c>
      <c r="I15" s="67">
        <f>IFERROR(VLOOKUP($B15,Tipologias!$A$4:$V$8,10,0),"")</f>
        <v>94.982</v>
      </c>
      <c r="J15" s="67">
        <f>IFERROR(VLOOKUP($B15,Tipologias!$A$4:$V$8,16,0),"")</f>
        <v>445.603</v>
      </c>
      <c r="K15" s="63" t="s">
        <v>105</v>
      </c>
      <c r="L15" s="68"/>
      <c r="M15" s="69" t="str">
        <f>IFERROR(VLOOKUP($B15,Tipologias!$A$4:$V$8,19,0),"")</f>
        <v/>
      </c>
      <c r="N15" s="69" t="str">
        <f t="shared" si="1"/>
        <v/>
      </c>
      <c r="O15" s="69"/>
      <c r="P15" s="68"/>
      <c r="Q15" s="70" t="s">
        <v>262</v>
      </c>
      <c r="R15" s="59"/>
    </row>
    <row r="16">
      <c r="A16" s="72" t="s">
        <v>263</v>
      </c>
      <c r="B16" s="62" t="s">
        <v>51</v>
      </c>
      <c r="C16" s="63" t="s">
        <v>52</v>
      </c>
      <c r="D16" s="63">
        <v>2.0</v>
      </c>
      <c r="E16" s="63" t="s">
        <v>57</v>
      </c>
      <c r="F16" s="66">
        <f>IFERROR(VLOOKUP($B16,Tipologias!$A$4:$V$8,5,0),"")</f>
        <v>4</v>
      </c>
      <c r="G16" s="66">
        <f>IFERROR(VLOOKUP($B16,Tipologias!$A$4:$V$8,6,0),"")</f>
        <v>4.5</v>
      </c>
      <c r="H16" s="67">
        <f>IFERROR(VLOOKUP($B16,Tipologias!$A$4:$V$8,9,0),"")</f>
        <v>321.621</v>
      </c>
      <c r="I16" s="67">
        <f>IFERROR(VLOOKUP($B16,Tipologias!$A$4:$V$8,10,0),"")</f>
        <v>94.982</v>
      </c>
      <c r="J16" s="67">
        <f>IFERROR(VLOOKUP($B16,Tipologias!$A$4:$V$8,16,0),"")</f>
        <v>445.603</v>
      </c>
      <c r="K16" s="63" t="s">
        <v>105</v>
      </c>
      <c r="L16" s="68"/>
      <c r="M16" s="69" t="str">
        <f>IFERROR(VLOOKUP($B16,Tipologias!$A$4:$V$8,19,0),"")</f>
        <v/>
      </c>
      <c r="N16" s="69" t="str">
        <f t="shared" si="1"/>
        <v/>
      </c>
      <c r="O16" s="69"/>
      <c r="P16" s="68"/>
      <c r="Q16" s="70" t="s">
        <v>264</v>
      </c>
      <c r="R16" s="59"/>
    </row>
    <row r="17">
      <c r="A17" s="72" t="s">
        <v>265</v>
      </c>
      <c r="B17" s="62" t="s">
        <v>51</v>
      </c>
      <c r="C17" s="63" t="s">
        <v>52</v>
      </c>
      <c r="D17" s="63">
        <v>2.0</v>
      </c>
      <c r="E17" s="63" t="s">
        <v>57</v>
      </c>
      <c r="F17" s="66">
        <f>IFERROR(VLOOKUP($B17,Tipologias!$A$4:$V$8,5,0),"")</f>
        <v>4</v>
      </c>
      <c r="G17" s="66">
        <f>IFERROR(VLOOKUP($B17,Tipologias!$A$4:$V$8,6,0),"")</f>
        <v>4.5</v>
      </c>
      <c r="H17" s="67">
        <f>IFERROR(VLOOKUP($B17,Tipologias!$A$4:$V$8,9,0),"")</f>
        <v>321.621</v>
      </c>
      <c r="I17" s="67">
        <f>IFERROR(VLOOKUP($B17,Tipologias!$A$4:$V$8,10,0),"")</f>
        <v>94.982</v>
      </c>
      <c r="J17" s="67">
        <f>IFERROR(VLOOKUP($B17,Tipologias!$A$4:$V$8,16,0),"")</f>
        <v>445.603</v>
      </c>
      <c r="K17" s="63" t="s">
        <v>105</v>
      </c>
      <c r="L17" s="68"/>
      <c r="M17" s="69" t="str">
        <f>IFERROR(VLOOKUP($B17,Tipologias!$A$4:$V$8,19,0),"")</f>
        <v/>
      </c>
      <c r="N17" s="69" t="str">
        <f t="shared" si="1"/>
        <v/>
      </c>
      <c r="O17" s="69"/>
      <c r="P17" s="68"/>
      <c r="Q17" s="77" t="s">
        <v>266</v>
      </c>
      <c r="R17" s="59"/>
    </row>
    <row r="18" ht="15.75" customHeight="1">
      <c r="A18" s="72" t="s">
        <v>267</v>
      </c>
      <c r="B18" s="62" t="s">
        <v>51</v>
      </c>
      <c r="C18" s="63" t="s">
        <v>52</v>
      </c>
      <c r="D18" s="63">
        <v>2.0</v>
      </c>
      <c r="E18" s="63" t="s">
        <v>57</v>
      </c>
      <c r="F18" s="66">
        <f>IFERROR(VLOOKUP($B18,Tipologias!$A$4:$V$8,5,0),"")</f>
        <v>4</v>
      </c>
      <c r="G18" s="66">
        <f>IFERROR(VLOOKUP($B18,Tipologias!$A$4:$V$8,6,0),"")</f>
        <v>4.5</v>
      </c>
      <c r="H18" s="67">
        <f>IFERROR(VLOOKUP($B18,Tipologias!$A$4:$V$8,9,0),"")</f>
        <v>321.621</v>
      </c>
      <c r="I18" s="67">
        <f>IFERROR(VLOOKUP($B18,Tipologias!$A$4:$V$8,10,0),"")</f>
        <v>94.982</v>
      </c>
      <c r="J18" s="67">
        <f>IFERROR(VLOOKUP($B18,Tipologias!$A$4:$V$8,16,0),"")</f>
        <v>445.603</v>
      </c>
      <c r="K18" s="63" t="s">
        <v>105</v>
      </c>
      <c r="L18" s="68"/>
      <c r="M18" s="69" t="str">
        <f>IFERROR(VLOOKUP($B18,Tipologias!$A$4:$V$8,19,0),"")</f>
        <v/>
      </c>
      <c r="N18" s="69" t="str">
        <f t="shared" si="1"/>
        <v/>
      </c>
      <c r="O18" s="69"/>
      <c r="P18" s="68"/>
      <c r="Q18" s="77" t="s">
        <v>268</v>
      </c>
      <c r="R18" s="59"/>
    </row>
    <row r="19" ht="15.75" customHeight="1">
      <c r="A19" s="72" t="s">
        <v>269</v>
      </c>
      <c r="B19" s="62" t="s">
        <v>51</v>
      </c>
      <c r="C19" s="63" t="s">
        <v>52</v>
      </c>
      <c r="D19" s="63">
        <v>2.0</v>
      </c>
      <c r="E19" s="63" t="s">
        <v>57</v>
      </c>
      <c r="F19" s="66">
        <f>IFERROR(VLOOKUP($B19,Tipologias!$A$4:$V$8,5,0),"")</f>
        <v>4</v>
      </c>
      <c r="G19" s="66">
        <f>IFERROR(VLOOKUP($B19,Tipologias!$A$4:$V$8,6,0),"")</f>
        <v>4.5</v>
      </c>
      <c r="H19" s="67">
        <f>IFERROR(VLOOKUP($B19,Tipologias!$A$4:$V$8,9,0),"")</f>
        <v>321.621</v>
      </c>
      <c r="I19" s="67">
        <f>IFERROR(VLOOKUP($B19,Tipologias!$A$4:$V$8,10,0),"")</f>
        <v>94.982</v>
      </c>
      <c r="J19" s="67">
        <f>IFERROR(VLOOKUP($B19,Tipologias!$A$4:$V$8,16,0),"")</f>
        <v>445.603</v>
      </c>
      <c r="K19" s="63" t="s">
        <v>105</v>
      </c>
      <c r="L19" s="68"/>
      <c r="M19" s="69" t="str">
        <f>IFERROR(VLOOKUP($B19,Tipologias!$A$4:$V$8,19,0),"")</f>
        <v/>
      </c>
      <c r="N19" s="69" t="str">
        <f t="shared" si="1"/>
        <v/>
      </c>
      <c r="O19" s="69"/>
      <c r="P19" s="68"/>
      <c r="Q19" s="77" t="s">
        <v>270</v>
      </c>
      <c r="R19" s="59"/>
    </row>
    <row r="20" ht="15.75" customHeight="1">
      <c r="A20" s="72" t="s">
        <v>271</v>
      </c>
      <c r="B20" s="62" t="s">
        <v>51</v>
      </c>
      <c r="C20" s="63" t="s">
        <v>52</v>
      </c>
      <c r="D20" s="63">
        <v>2.0</v>
      </c>
      <c r="E20" s="63" t="s">
        <v>57</v>
      </c>
      <c r="F20" s="66">
        <f>IFERROR(VLOOKUP($B20,Tipologias!$A$4:$V$8,5,0),"")</f>
        <v>4</v>
      </c>
      <c r="G20" s="66">
        <f>IFERROR(VLOOKUP($B20,Tipologias!$A$4:$V$8,6,0),"")</f>
        <v>4.5</v>
      </c>
      <c r="H20" s="67">
        <f>IFERROR(VLOOKUP($B20,Tipologias!$A$4:$V$8,9,0),"")</f>
        <v>321.621</v>
      </c>
      <c r="I20" s="67">
        <f>IFERROR(VLOOKUP($B20,Tipologias!$A$4:$V$8,10,0),"")</f>
        <v>94.982</v>
      </c>
      <c r="J20" s="67">
        <f>IFERROR(VLOOKUP($B20,Tipologias!$A$4:$V$8,16,0),"")</f>
        <v>445.603</v>
      </c>
      <c r="K20" s="63" t="s">
        <v>105</v>
      </c>
      <c r="L20" s="68"/>
      <c r="M20" s="69" t="str">
        <f>IFERROR(VLOOKUP($B20,Tipologias!$A$4:$V$8,19,0),"")</f>
        <v/>
      </c>
      <c r="N20" s="69" t="str">
        <f t="shared" si="1"/>
        <v/>
      </c>
      <c r="O20" s="69"/>
      <c r="P20" s="68"/>
      <c r="Q20" s="70" t="s">
        <v>272</v>
      </c>
      <c r="R20" s="59"/>
    </row>
    <row r="21" ht="15.75" customHeight="1">
      <c r="A21" s="72" t="s">
        <v>273</v>
      </c>
      <c r="B21" s="62" t="s">
        <v>51</v>
      </c>
      <c r="C21" s="63" t="s">
        <v>52</v>
      </c>
      <c r="D21" s="63">
        <v>2.0</v>
      </c>
      <c r="E21" s="63" t="s">
        <v>57</v>
      </c>
      <c r="F21" s="66">
        <f>IFERROR(VLOOKUP($B21,Tipologias!$A$4:$V$8,5,0),"")</f>
        <v>4</v>
      </c>
      <c r="G21" s="66">
        <f>IFERROR(VLOOKUP($B21,Tipologias!$A$4:$V$8,6,0),"")</f>
        <v>4.5</v>
      </c>
      <c r="H21" s="67">
        <f>IFERROR(VLOOKUP($B21,Tipologias!$A$4:$V$8,9,0),"")</f>
        <v>321.621</v>
      </c>
      <c r="I21" s="67">
        <f>IFERROR(VLOOKUP($B21,Tipologias!$A$4:$V$8,10,0),"")</f>
        <v>94.982</v>
      </c>
      <c r="J21" s="67">
        <f>IFERROR(VLOOKUP($B21,Tipologias!$A$4:$V$8,16,0),"")</f>
        <v>445.603</v>
      </c>
      <c r="K21" s="63" t="s">
        <v>105</v>
      </c>
      <c r="L21" s="68"/>
      <c r="M21" s="69" t="str">
        <f>IFERROR(VLOOKUP($B21,Tipologias!$A$4:$V$8,19,0),"")</f>
        <v/>
      </c>
      <c r="N21" s="69" t="str">
        <f t="shared" si="1"/>
        <v/>
      </c>
      <c r="O21" s="69"/>
      <c r="P21" s="68"/>
      <c r="Q21" s="70" t="s">
        <v>274</v>
      </c>
      <c r="R21" s="59"/>
    </row>
    <row r="22" ht="15.75" customHeight="1">
      <c r="A22" s="72" t="s">
        <v>275</v>
      </c>
      <c r="B22" s="62" t="s">
        <v>51</v>
      </c>
      <c r="C22" s="63" t="s">
        <v>52</v>
      </c>
      <c r="D22" s="63">
        <v>2.0</v>
      </c>
      <c r="E22" s="63" t="s">
        <v>57</v>
      </c>
      <c r="F22" s="66">
        <f>IFERROR(VLOOKUP($B22,Tipologias!$A$4:$V$8,5,0),"")</f>
        <v>4</v>
      </c>
      <c r="G22" s="66">
        <f>IFERROR(VLOOKUP($B22,Tipologias!$A$4:$V$8,6,0),"")</f>
        <v>4.5</v>
      </c>
      <c r="H22" s="67">
        <f>IFERROR(VLOOKUP($B22,Tipologias!$A$4:$V$8,9,0),"")</f>
        <v>321.621</v>
      </c>
      <c r="I22" s="67">
        <f>IFERROR(VLOOKUP($B22,Tipologias!$A$4:$V$8,10,0),"")</f>
        <v>94.982</v>
      </c>
      <c r="J22" s="67">
        <f>IFERROR(VLOOKUP($B22,Tipologias!$A$4:$V$8,16,0),"")</f>
        <v>445.603</v>
      </c>
      <c r="K22" s="63" t="s">
        <v>105</v>
      </c>
      <c r="L22" s="68"/>
      <c r="M22" s="69" t="str">
        <f>IFERROR(VLOOKUP($B22,Tipologias!$A$4:$V$8,19,0),"")</f>
        <v/>
      </c>
      <c r="N22" s="69" t="str">
        <f t="shared" si="1"/>
        <v/>
      </c>
      <c r="O22" s="69"/>
      <c r="P22" s="68"/>
      <c r="Q22" s="70" t="s">
        <v>276</v>
      </c>
      <c r="R22" s="59"/>
    </row>
    <row r="23" ht="15.75" customHeight="1">
      <c r="A23" s="72" t="s">
        <v>277</v>
      </c>
      <c r="B23" s="62" t="s">
        <v>51</v>
      </c>
      <c r="C23" s="63" t="s">
        <v>52</v>
      </c>
      <c r="D23" s="63">
        <v>2.0</v>
      </c>
      <c r="E23" s="63" t="s">
        <v>57</v>
      </c>
      <c r="F23" s="66">
        <f>IFERROR(VLOOKUP($B23,Tipologias!$A$4:$V$8,5,0),"")</f>
        <v>4</v>
      </c>
      <c r="G23" s="66">
        <f>IFERROR(VLOOKUP($B23,Tipologias!$A$4:$V$8,6,0),"")</f>
        <v>4.5</v>
      </c>
      <c r="H23" s="67">
        <f>IFERROR(VLOOKUP($B23,Tipologias!$A$4:$V$8,9,0),"")</f>
        <v>321.621</v>
      </c>
      <c r="I23" s="67">
        <f>IFERROR(VLOOKUP($B23,Tipologias!$A$4:$V$8,10,0),"")</f>
        <v>94.982</v>
      </c>
      <c r="J23" s="67">
        <f>IFERROR(VLOOKUP($B23,Tipologias!$A$4:$V$8,16,0),"")</f>
        <v>445.603</v>
      </c>
      <c r="K23" s="63" t="s">
        <v>105</v>
      </c>
      <c r="L23" s="68"/>
      <c r="M23" s="69" t="str">
        <f>IFERROR(VLOOKUP($B23,Tipologias!$A$4:$V$8,19,0),"")</f>
        <v/>
      </c>
      <c r="N23" s="69" t="str">
        <f t="shared" si="1"/>
        <v/>
      </c>
      <c r="O23" s="69"/>
      <c r="P23" s="68"/>
      <c r="Q23" s="70" t="s">
        <v>278</v>
      </c>
      <c r="R23" s="59"/>
    </row>
    <row r="24" ht="15.75" customHeight="1">
      <c r="A24" s="72" t="s">
        <v>279</v>
      </c>
      <c r="B24" s="62" t="s">
        <v>51</v>
      </c>
      <c r="C24" s="63" t="s">
        <v>52</v>
      </c>
      <c r="D24" s="63">
        <v>2.0</v>
      </c>
      <c r="E24" s="63" t="s">
        <v>57</v>
      </c>
      <c r="F24" s="66">
        <f>IFERROR(VLOOKUP($B24,Tipologias!$A$4:$V$8,5,0),"")</f>
        <v>4</v>
      </c>
      <c r="G24" s="66">
        <f>IFERROR(VLOOKUP($B24,Tipologias!$A$4:$V$8,6,0),"")</f>
        <v>4.5</v>
      </c>
      <c r="H24" s="67">
        <f>IFERROR(VLOOKUP($B24,Tipologias!$A$4:$V$8,9,0),"")</f>
        <v>321.621</v>
      </c>
      <c r="I24" s="67">
        <f>IFERROR(VLOOKUP($B24,Tipologias!$A$4:$V$8,10,0),"")</f>
        <v>94.982</v>
      </c>
      <c r="J24" s="67">
        <f>IFERROR(VLOOKUP($B24,Tipologias!$A$4:$V$8,16,0),"")</f>
        <v>445.603</v>
      </c>
      <c r="K24" s="63" t="s">
        <v>105</v>
      </c>
      <c r="L24" s="68"/>
      <c r="M24" s="69" t="str">
        <f>IFERROR(VLOOKUP($B24,Tipologias!$A$4:$V$8,19,0),"")</f>
        <v/>
      </c>
      <c r="N24" s="69" t="str">
        <f t="shared" si="1"/>
        <v/>
      </c>
      <c r="O24" s="69"/>
      <c r="P24" s="68"/>
      <c r="Q24" s="70" t="s">
        <v>280</v>
      </c>
      <c r="R24" s="59"/>
    </row>
    <row r="25" ht="15.75" customHeight="1">
      <c r="A25" s="72" t="s">
        <v>281</v>
      </c>
      <c r="B25" s="62" t="s">
        <v>51</v>
      </c>
      <c r="C25" s="63" t="s">
        <v>52</v>
      </c>
      <c r="D25" s="63">
        <v>2.0</v>
      </c>
      <c r="E25" s="63" t="s">
        <v>57</v>
      </c>
      <c r="F25" s="66">
        <f>IFERROR(VLOOKUP($B25,Tipologias!$A$4:$V$8,5,0),"")</f>
        <v>4</v>
      </c>
      <c r="G25" s="66">
        <f>IFERROR(VLOOKUP($B25,Tipologias!$A$4:$V$8,6,0),"")</f>
        <v>4.5</v>
      </c>
      <c r="H25" s="67">
        <f>IFERROR(VLOOKUP($B25,Tipologias!$A$4:$V$8,9,0),"")</f>
        <v>321.621</v>
      </c>
      <c r="I25" s="67">
        <f>IFERROR(VLOOKUP($B25,Tipologias!$A$4:$V$8,10,0),"")</f>
        <v>94.982</v>
      </c>
      <c r="J25" s="67">
        <f>IFERROR(VLOOKUP($B25,Tipologias!$A$4:$V$8,16,0),"")</f>
        <v>445.603</v>
      </c>
      <c r="K25" s="63" t="s">
        <v>105</v>
      </c>
      <c r="L25" s="68"/>
      <c r="M25" s="69" t="str">
        <f>IFERROR(VLOOKUP($B25,Tipologias!$A$4:$V$8,19,0),"")</f>
        <v/>
      </c>
      <c r="N25" s="69" t="str">
        <f t="shared" si="1"/>
        <v/>
      </c>
      <c r="O25" s="69"/>
      <c r="P25" s="68"/>
      <c r="Q25" s="70" t="s">
        <v>282</v>
      </c>
      <c r="R25" s="59"/>
    </row>
    <row r="26" ht="15.75" customHeight="1">
      <c r="A26" s="72" t="s">
        <v>283</v>
      </c>
      <c r="B26" s="62" t="s">
        <v>51</v>
      </c>
      <c r="C26" s="63" t="s">
        <v>52</v>
      </c>
      <c r="D26" s="63">
        <v>2.0</v>
      </c>
      <c r="E26" s="63" t="s">
        <v>57</v>
      </c>
      <c r="F26" s="66">
        <f>IFERROR(VLOOKUP($B26,Tipologias!$A$4:$V$8,5,0),"")</f>
        <v>4</v>
      </c>
      <c r="G26" s="66">
        <f>IFERROR(VLOOKUP($B26,Tipologias!$A$4:$V$8,6,0),"")</f>
        <v>4.5</v>
      </c>
      <c r="H26" s="67">
        <f>IFERROR(VLOOKUP($B26,Tipologias!$A$4:$V$8,9,0),"")</f>
        <v>321.621</v>
      </c>
      <c r="I26" s="67">
        <f>IFERROR(VLOOKUP($B26,Tipologias!$A$4:$V$8,10,0),"")</f>
        <v>94.982</v>
      </c>
      <c r="J26" s="67">
        <f>IFERROR(VLOOKUP($B26,Tipologias!$A$4:$V$8,16,0),"")</f>
        <v>445.603</v>
      </c>
      <c r="K26" s="63" t="s">
        <v>105</v>
      </c>
      <c r="L26" s="68"/>
      <c r="M26" s="69" t="str">
        <f>IFERROR(VLOOKUP($B26,Tipologias!$A$4:$V$8,19,0),"")</f>
        <v/>
      </c>
      <c r="N26" s="69" t="str">
        <f t="shared" si="1"/>
        <v/>
      </c>
      <c r="O26" s="69"/>
      <c r="P26" s="68"/>
      <c r="Q26" s="77" t="s">
        <v>284</v>
      </c>
      <c r="R26" s="59"/>
    </row>
    <row r="27" ht="15.75" customHeight="1">
      <c r="A27" s="72" t="s">
        <v>285</v>
      </c>
      <c r="B27" s="62" t="s">
        <v>51</v>
      </c>
      <c r="C27" s="63" t="s">
        <v>52</v>
      </c>
      <c r="D27" s="63">
        <v>2.0</v>
      </c>
      <c r="E27" s="63" t="s">
        <v>57</v>
      </c>
      <c r="F27" s="66">
        <f>IFERROR(VLOOKUP($B27,Tipologias!$A$4:$V$8,5,0),"")</f>
        <v>4</v>
      </c>
      <c r="G27" s="66">
        <f>IFERROR(VLOOKUP($B27,Tipologias!$A$4:$V$8,6,0),"")</f>
        <v>4.5</v>
      </c>
      <c r="H27" s="67">
        <f>IFERROR(VLOOKUP($B27,Tipologias!$A$4:$V$8,9,0),"")</f>
        <v>321.621</v>
      </c>
      <c r="I27" s="67">
        <f>IFERROR(VLOOKUP($B27,Tipologias!$A$4:$V$8,10,0),"")</f>
        <v>94.982</v>
      </c>
      <c r="J27" s="67">
        <f>IFERROR(VLOOKUP($B27,Tipologias!$A$4:$V$8,16,0),"")</f>
        <v>445.603</v>
      </c>
      <c r="K27" s="63" t="s">
        <v>105</v>
      </c>
      <c r="L27" s="68"/>
      <c r="M27" s="69" t="str">
        <f>IFERROR(VLOOKUP($B27,Tipologias!$A$4:$V$8,19,0),"")</f>
        <v/>
      </c>
      <c r="N27" s="69" t="str">
        <f t="shared" si="1"/>
        <v/>
      </c>
      <c r="O27" s="69"/>
      <c r="P27" s="68"/>
      <c r="Q27" s="77" t="s">
        <v>286</v>
      </c>
      <c r="R27" s="59"/>
    </row>
    <row r="28" ht="15.75" customHeight="1">
      <c r="A28" s="72" t="s">
        <v>287</v>
      </c>
      <c r="B28" s="62" t="s">
        <v>51</v>
      </c>
      <c r="C28" s="63" t="s">
        <v>52</v>
      </c>
      <c r="D28" s="63">
        <v>2.0</v>
      </c>
      <c r="E28" s="63" t="s">
        <v>57</v>
      </c>
      <c r="F28" s="66">
        <f>IFERROR(VLOOKUP($B28,Tipologias!$A$4:$V$8,5,0),"")</f>
        <v>4</v>
      </c>
      <c r="G28" s="66">
        <f>IFERROR(VLOOKUP($B28,Tipologias!$A$4:$V$8,6,0),"")</f>
        <v>4.5</v>
      </c>
      <c r="H28" s="67">
        <f>IFERROR(VLOOKUP($B28,Tipologias!$A$4:$V$8,9,0),"")</f>
        <v>321.621</v>
      </c>
      <c r="I28" s="67">
        <f>IFERROR(VLOOKUP($B28,Tipologias!$A$4:$V$8,10,0),"")</f>
        <v>94.982</v>
      </c>
      <c r="J28" s="67">
        <f>IFERROR(VLOOKUP($B28,Tipologias!$A$4:$V$8,16,0),"")</f>
        <v>445.603</v>
      </c>
      <c r="K28" s="63" t="s">
        <v>105</v>
      </c>
      <c r="L28" s="68"/>
      <c r="M28" s="69" t="str">
        <f>IFERROR(VLOOKUP($B28,Tipologias!$A$4:$V$8,19,0),"")</f>
        <v/>
      </c>
      <c r="N28" s="69" t="str">
        <f t="shared" si="1"/>
        <v/>
      </c>
      <c r="O28" s="69"/>
      <c r="P28" s="68"/>
      <c r="Q28" s="77" t="s">
        <v>286</v>
      </c>
      <c r="R28" s="59"/>
    </row>
    <row r="29" ht="15.75" customHeight="1">
      <c r="A29" s="72" t="s">
        <v>288</v>
      </c>
      <c r="B29" s="62" t="s">
        <v>51</v>
      </c>
      <c r="C29" s="63" t="s">
        <v>52</v>
      </c>
      <c r="D29" s="63">
        <v>2.0</v>
      </c>
      <c r="E29" s="63" t="s">
        <v>57</v>
      </c>
      <c r="F29" s="66">
        <f>IFERROR(VLOOKUP($B29,Tipologias!$A$4:$V$8,5,0),"")</f>
        <v>4</v>
      </c>
      <c r="G29" s="66">
        <f>IFERROR(VLOOKUP($B29,Tipologias!$A$4:$V$8,6,0),"")</f>
        <v>4.5</v>
      </c>
      <c r="H29" s="67">
        <f>IFERROR(VLOOKUP($B29,Tipologias!$A$4:$V$8,9,0),"")</f>
        <v>321.621</v>
      </c>
      <c r="I29" s="67">
        <f>IFERROR(VLOOKUP($B29,Tipologias!$A$4:$V$8,10,0),"")</f>
        <v>94.982</v>
      </c>
      <c r="J29" s="67">
        <f>IFERROR(VLOOKUP($B29,Tipologias!$A$4:$V$8,16,0),"")</f>
        <v>445.603</v>
      </c>
      <c r="K29" s="63" t="s">
        <v>105</v>
      </c>
      <c r="L29" s="68"/>
      <c r="M29" s="69" t="str">
        <f>IFERROR(VLOOKUP($B29,Tipologias!$A$4:$V$8,19,0),"")</f>
        <v/>
      </c>
      <c r="N29" s="69" t="str">
        <f t="shared" si="1"/>
        <v/>
      </c>
      <c r="O29" s="69"/>
      <c r="P29" s="68"/>
      <c r="Q29" s="77" t="s">
        <v>286</v>
      </c>
      <c r="R29" s="59"/>
    </row>
    <row r="30" ht="15.75" customHeight="1">
      <c r="A30" s="72" t="s">
        <v>289</v>
      </c>
      <c r="B30" s="62" t="s">
        <v>51</v>
      </c>
      <c r="C30" s="63" t="s">
        <v>52</v>
      </c>
      <c r="D30" s="63">
        <v>2.0</v>
      </c>
      <c r="E30" s="63" t="s">
        <v>57</v>
      </c>
      <c r="F30" s="66">
        <f>IFERROR(VLOOKUP($B30,Tipologias!$A$4:$V$8,5,0),"")</f>
        <v>4</v>
      </c>
      <c r="G30" s="66">
        <f>IFERROR(VLOOKUP($B30,Tipologias!$A$4:$V$8,6,0),"")</f>
        <v>4.5</v>
      </c>
      <c r="H30" s="67">
        <f>IFERROR(VLOOKUP($B30,Tipologias!$A$4:$V$8,9,0),"")</f>
        <v>321.621</v>
      </c>
      <c r="I30" s="67">
        <f>IFERROR(VLOOKUP($B30,Tipologias!$A$4:$V$8,10,0),"")</f>
        <v>94.982</v>
      </c>
      <c r="J30" s="67">
        <f>IFERROR(VLOOKUP($B30,Tipologias!$A$4:$V$8,16,0),"")</f>
        <v>445.603</v>
      </c>
      <c r="K30" s="63" t="s">
        <v>105</v>
      </c>
      <c r="L30" s="68"/>
      <c r="M30" s="69" t="str">
        <f>IFERROR(VLOOKUP($B30,Tipologias!$A$4:$V$8,19,0),"")</f>
        <v/>
      </c>
      <c r="N30" s="69" t="str">
        <f t="shared" si="1"/>
        <v/>
      </c>
      <c r="O30" s="69"/>
      <c r="P30" s="68"/>
      <c r="Q30" s="77" t="s">
        <v>290</v>
      </c>
      <c r="R30" s="59"/>
    </row>
    <row r="31" ht="15.75" customHeight="1">
      <c r="A31" s="72" t="s">
        <v>291</v>
      </c>
      <c r="B31" s="62" t="s">
        <v>51</v>
      </c>
      <c r="C31" s="63" t="s">
        <v>52</v>
      </c>
      <c r="D31" s="63">
        <v>2.0</v>
      </c>
      <c r="E31" s="63" t="s">
        <v>57</v>
      </c>
      <c r="F31" s="66">
        <f>IFERROR(VLOOKUP($B31,Tipologias!$A$4:$V$8,5,0),"")</f>
        <v>4</v>
      </c>
      <c r="G31" s="66">
        <f>IFERROR(VLOOKUP($B31,Tipologias!$A$4:$V$8,6,0),"")</f>
        <v>4.5</v>
      </c>
      <c r="H31" s="67">
        <f>IFERROR(VLOOKUP($B31,Tipologias!$A$4:$V$8,9,0),"")</f>
        <v>321.621</v>
      </c>
      <c r="I31" s="67">
        <f>IFERROR(VLOOKUP($B31,Tipologias!$A$4:$V$8,10,0),"")</f>
        <v>94.982</v>
      </c>
      <c r="J31" s="67">
        <f>IFERROR(VLOOKUP($B31,Tipologias!$A$4:$V$8,16,0),"")</f>
        <v>445.603</v>
      </c>
      <c r="K31" s="63" t="s">
        <v>105</v>
      </c>
      <c r="L31" s="68"/>
      <c r="M31" s="69" t="str">
        <f>IFERROR(VLOOKUP($B31,Tipologias!$A$4:$V$8,19,0),"")</f>
        <v/>
      </c>
      <c r="N31" s="69" t="str">
        <f t="shared" si="1"/>
        <v/>
      </c>
      <c r="O31" s="69"/>
      <c r="P31" s="68"/>
      <c r="Q31" s="77" t="s">
        <v>292</v>
      </c>
      <c r="R31" s="59"/>
    </row>
    <row r="32" ht="15.75" customHeight="1">
      <c r="A32" s="72" t="s">
        <v>293</v>
      </c>
      <c r="B32" s="62" t="s">
        <v>51</v>
      </c>
      <c r="C32" s="63" t="s">
        <v>52</v>
      </c>
      <c r="D32" s="63">
        <v>2.0</v>
      </c>
      <c r="E32" s="63" t="s">
        <v>57</v>
      </c>
      <c r="F32" s="66">
        <f>IFERROR(VLOOKUP($B32,Tipologias!$A$4:$V$8,5,0),"")</f>
        <v>4</v>
      </c>
      <c r="G32" s="66">
        <f>IFERROR(VLOOKUP($B32,Tipologias!$A$4:$V$8,6,0),"")</f>
        <v>4.5</v>
      </c>
      <c r="H32" s="67">
        <f>IFERROR(VLOOKUP($B32,Tipologias!$A$4:$V$8,9,0),"")</f>
        <v>321.621</v>
      </c>
      <c r="I32" s="67">
        <f>IFERROR(VLOOKUP($B32,Tipologias!$A$4:$V$8,10,0),"")</f>
        <v>94.982</v>
      </c>
      <c r="J32" s="67">
        <f>IFERROR(VLOOKUP($B32,Tipologias!$A$4:$V$8,16,0),"")</f>
        <v>445.603</v>
      </c>
      <c r="K32" s="63" t="s">
        <v>105</v>
      </c>
      <c r="L32" s="68"/>
      <c r="M32" s="69" t="str">
        <f>IFERROR(VLOOKUP($B32,Tipologias!$A$4:$V$8,19,0),"")</f>
        <v/>
      </c>
      <c r="N32" s="69" t="str">
        <f t="shared" si="1"/>
        <v/>
      </c>
      <c r="O32" s="69"/>
      <c r="P32" s="68"/>
      <c r="Q32" s="77" t="s">
        <v>294</v>
      </c>
      <c r="R32" s="59"/>
    </row>
    <row r="33" ht="15.75" customHeight="1">
      <c r="A33" s="72" t="s">
        <v>295</v>
      </c>
      <c r="B33" s="62" t="s">
        <v>51</v>
      </c>
      <c r="C33" s="63" t="s">
        <v>52</v>
      </c>
      <c r="D33" s="63">
        <v>2.0</v>
      </c>
      <c r="E33" s="63" t="s">
        <v>57</v>
      </c>
      <c r="F33" s="66">
        <f>IFERROR(VLOOKUP($B33,Tipologias!$A$4:$V$8,5,0),"")</f>
        <v>4</v>
      </c>
      <c r="G33" s="66">
        <f>IFERROR(VLOOKUP($B33,Tipologias!$A$4:$V$8,6,0),"")</f>
        <v>4.5</v>
      </c>
      <c r="H33" s="67">
        <f>IFERROR(VLOOKUP($B33,Tipologias!$A$4:$V$8,9,0),"")</f>
        <v>321.621</v>
      </c>
      <c r="I33" s="67">
        <f>IFERROR(VLOOKUP($B33,Tipologias!$A$4:$V$8,10,0),"")</f>
        <v>94.982</v>
      </c>
      <c r="J33" s="67">
        <f>IFERROR(VLOOKUP($B33,Tipologias!$A$4:$V$8,16,0),"")</f>
        <v>445.603</v>
      </c>
      <c r="K33" s="63" t="s">
        <v>105</v>
      </c>
      <c r="L33" s="68"/>
      <c r="M33" s="69" t="str">
        <f>IFERROR(VLOOKUP($B33,Tipologias!$A$4:$V$8,19,0),"")</f>
        <v/>
      </c>
      <c r="N33" s="69" t="str">
        <f t="shared" si="1"/>
        <v/>
      </c>
      <c r="O33" s="69"/>
      <c r="P33" s="68"/>
      <c r="Q33" s="77" t="s">
        <v>296</v>
      </c>
      <c r="R33" s="59"/>
    </row>
    <row r="34" ht="15.75" customHeight="1">
      <c r="A34" s="72" t="s">
        <v>297</v>
      </c>
      <c r="B34" s="62" t="s">
        <v>51</v>
      </c>
      <c r="C34" s="63" t="s">
        <v>52</v>
      </c>
      <c r="D34" s="63">
        <v>2.0</v>
      </c>
      <c r="E34" s="63" t="s">
        <v>57</v>
      </c>
      <c r="F34" s="66">
        <f>IFERROR(VLOOKUP($B34,Tipologias!$A$4:$V$8,5,0),"")</f>
        <v>4</v>
      </c>
      <c r="G34" s="66">
        <f>IFERROR(VLOOKUP($B34,Tipologias!$A$4:$V$8,6,0),"")</f>
        <v>4.5</v>
      </c>
      <c r="H34" s="67">
        <f>IFERROR(VLOOKUP($B34,Tipologias!$A$4:$V$8,9,0),"")</f>
        <v>321.621</v>
      </c>
      <c r="I34" s="67">
        <f>IFERROR(VLOOKUP($B34,Tipologias!$A$4:$V$8,10,0),"")</f>
        <v>94.982</v>
      </c>
      <c r="J34" s="67">
        <f>IFERROR(VLOOKUP($B34,Tipologias!$A$4:$V$8,16,0),"")</f>
        <v>445.603</v>
      </c>
      <c r="K34" s="63" t="s">
        <v>105</v>
      </c>
      <c r="L34" s="68"/>
      <c r="M34" s="69" t="str">
        <f>IFERROR(VLOOKUP($B34,Tipologias!$A$4:$V$8,19,0),"")</f>
        <v/>
      </c>
      <c r="N34" s="69" t="str">
        <f t="shared" si="1"/>
        <v/>
      </c>
      <c r="O34" s="69"/>
      <c r="P34" s="68"/>
      <c r="Q34" s="77" t="s">
        <v>298</v>
      </c>
      <c r="R34" s="59"/>
    </row>
    <row r="35" ht="15.75" customHeight="1">
      <c r="A35" s="72" t="s">
        <v>299</v>
      </c>
      <c r="B35" s="62" t="s">
        <v>139</v>
      </c>
      <c r="C35" s="63" t="s">
        <v>52</v>
      </c>
      <c r="D35" s="63">
        <v>2.0</v>
      </c>
      <c r="E35" s="63" t="s">
        <v>57</v>
      </c>
      <c r="F35" s="66">
        <f>IFERROR(VLOOKUP($B35,Tipologias!$A$4:$V$8,5,0),"")</f>
        <v>3</v>
      </c>
      <c r="G35" s="66">
        <f>IFERROR(VLOOKUP($B35,Tipologias!$A$4:$V$8,6,0),"")</f>
        <v>3.5</v>
      </c>
      <c r="H35" s="67">
        <f>IFERROR(VLOOKUP($B35,Tipologias!$A$4:$V$8,9,0),"")</f>
        <v>179.174</v>
      </c>
      <c r="I35" s="67">
        <f>IFERROR(VLOOKUP($B35,Tipologias!$A$4:$V$8,10,0),"")</f>
        <v>89</v>
      </c>
      <c r="J35" s="67">
        <f>IFERROR(VLOOKUP($B35,Tipologias!$A$4:$V$8,16,0),"")</f>
        <v>301.174</v>
      </c>
      <c r="K35" s="63" t="s">
        <v>105</v>
      </c>
      <c r="L35" s="68"/>
      <c r="M35" s="69" t="str">
        <f>IFERROR(VLOOKUP($B35,Tipologias!$A$4:$V$8,19,0),"")</f>
        <v/>
      </c>
      <c r="N35" s="69" t="str">
        <f t="shared" si="1"/>
        <v/>
      </c>
      <c r="O35" s="69"/>
      <c r="P35" s="68"/>
      <c r="Q35" s="70" t="s">
        <v>300</v>
      </c>
      <c r="R35" s="59"/>
    </row>
    <row r="36" ht="15.75" customHeight="1">
      <c r="A36" s="72" t="s">
        <v>301</v>
      </c>
      <c r="B36" s="62" t="s">
        <v>139</v>
      </c>
      <c r="C36" s="63" t="s">
        <v>52</v>
      </c>
      <c r="D36" s="63">
        <v>2.0</v>
      </c>
      <c r="E36" s="63" t="s">
        <v>57</v>
      </c>
      <c r="F36" s="66">
        <f>IFERROR(VLOOKUP($B36,Tipologias!$A$4:$V$8,5,0),"")</f>
        <v>3</v>
      </c>
      <c r="G36" s="66">
        <f>IFERROR(VLOOKUP($B36,Tipologias!$A$4:$V$8,6,0),"")</f>
        <v>3.5</v>
      </c>
      <c r="H36" s="67">
        <f>IFERROR(VLOOKUP($B36,Tipologias!$A$4:$V$8,9,0),"")</f>
        <v>179.174</v>
      </c>
      <c r="I36" s="67">
        <f>IFERROR(VLOOKUP($B36,Tipologias!$A$4:$V$8,10,0),"")</f>
        <v>89</v>
      </c>
      <c r="J36" s="67">
        <f>IFERROR(VLOOKUP($B36,Tipologias!$A$4:$V$8,16,0),"")</f>
        <v>301.174</v>
      </c>
      <c r="K36" s="63" t="s">
        <v>105</v>
      </c>
      <c r="L36" s="68"/>
      <c r="M36" s="69" t="str">
        <f>IFERROR(VLOOKUP($B36,Tipologias!$A$4:$V$8,19,0),"")</f>
        <v/>
      </c>
      <c r="N36" s="69" t="str">
        <f t="shared" si="1"/>
        <v/>
      </c>
      <c r="O36" s="69"/>
      <c r="P36" s="68"/>
      <c r="Q36" s="77" t="s">
        <v>302</v>
      </c>
      <c r="R36" s="59"/>
    </row>
    <row r="37" ht="15.75" customHeight="1">
      <c r="A37" s="72" t="s">
        <v>303</v>
      </c>
      <c r="B37" s="62" t="s">
        <v>139</v>
      </c>
      <c r="C37" s="63" t="s">
        <v>52</v>
      </c>
      <c r="D37" s="63">
        <v>2.0</v>
      </c>
      <c r="E37" s="63" t="s">
        <v>57</v>
      </c>
      <c r="F37" s="66">
        <f>IFERROR(VLOOKUP($B37,Tipologias!$A$4:$V$8,5,0),"")</f>
        <v>3</v>
      </c>
      <c r="G37" s="66">
        <f>IFERROR(VLOOKUP($B37,Tipologias!$A$4:$V$8,6,0),"")</f>
        <v>3.5</v>
      </c>
      <c r="H37" s="67">
        <f>IFERROR(VLOOKUP($B37,Tipologias!$A$4:$V$8,9,0),"")</f>
        <v>179.174</v>
      </c>
      <c r="I37" s="67">
        <f>IFERROR(VLOOKUP($B37,Tipologias!$A$4:$V$8,10,0),"")</f>
        <v>89</v>
      </c>
      <c r="J37" s="67">
        <f>IFERROR(VLOOKUP($B37,Tipologias!$A$4:$V$8,16,0),"")</f>
        <v>301.174</v>
      </c>
      <c r="K37" s="63" t="s">
        <v>105</v>
      </c>
      <c r="L37" s="68"/>
      <c r="M37" s="69" t="str">
        <f>IFERROR(VLOOKUP($B37,Tipologias!$A$4:$V$8,19,0),"")</f>
        <v/>
      </c>
      <c r="N37" s="69" t="str">
        <f t="shared" si="1"/>
        <v/>
      </c>
      <c r="O37" s="69"/>
      <c r="P37" s="68"/>
      <c r="Q37" s="77" t="s">
        <v>304</v>
      </c>
      <c r="R37" s="59"/>
    </row>
    <row r="38" ht="15.75" customHeight="1">
      <c r="A38" s="72" t="s">
        <v>305</v>
      </c>
      <c r="B38" s="62" t="s">
        <v>139</v>
      </c>
      <c r="C38" s="63" t="s">
        <v>52</v>
      </c>
      <c r="D38" s="63">
        <v>2.0</v>
      </c>
      <c r="E38" s="63" t="s">
        <v>57</v>
      </c>
      <c r="F38" s="66">
        <f>IFERROR(VLOOKUP($B38,Tipologias!$A$4:$V$8,5,0),"")</f>
        <v>3</v>
      </c>
      <c r="G38" s="66">
        <f>IFERROR(VLOOKUP($B38,Tipologias!$A$4:$V$8,6,0),"")</f>
        <v>3.5</v>
      </c>
      <c r="H38" s="67">
        <f>IFERROR(VLOOKUP($B38,Tipologias!$A$4:$V$8,9,0),"")</f>
        <v>179.174</v>
      </c>
      <c r="I38" s="67">
        <f>IFERROR(VLOOKUP($B38,Tipologias!$A$4:$V$8,10,0),"")</f>
        <v>89</v>
      </c>
      <c r="J38" s="67">
        <f>IFERROR(VLOOKUP($B38,Tipologias!$A$4:$V$8,16,0),"")</f>
        <v>301.174</v>
      </c>
      <c r="K38" s="63" t="s">
        <v>105</v>
      </c>
      <c r="L38" s="68"/>
      <c r="M38" s="69" t="str">
        <f>IFERROR(VLOOKUP($B38,Tipologias!$A$4:$V$8,19,0),"")</f>
        <v/>
      </c>
      <c r="N38" s="69" t="str">
        <f t="shared" si="1"/>
        <v/>
      </c>
      <c r="O38" s="69"/>
      <c r="P38" s="68"/>
      <c r="Q38" s="77" t="s">
        <v>306</v>
      </c>
      <c r="R38" s="59"/>
    </row>
    <row r="39" ht="15.75" customHeight="1">
      <c r="A39" s="90" t="s">
        <v>307</v>
      </c>
      <c r="B39" s="62" t="s">
        <v>139</v>
      </c>
      <c r="C39" s="63" t="s">
        <v>52</v>
      </c>
      <c r="D39" s="63">
        <v>2.0</v>
      </c>
      <c r="E39" s="63" t="s">
        <v>57</v>
      </c>
      <c r="F39" s="66">
        <f>IFERROR(VLOOKUP($B39,Tipologias!$A$4:$V$8,5,0),"")</f>
        <v>3</v>
      </c>
      <c r="G39" s="66">
        <f>IFERROR(VLOOKUP($B39,Tipologias!$A$4:$V$8,6,0),"")</f>
        <v>3.5</v>
      </c>
      <c r="H39" s="67">
        <f>IFERROR(VLOOKUP($B39,Tipologias!$A$4:$V$8,9,0),"")</f>
        <v>179.174</v>
      </c>
      <c r="I39" s="67">
        <f>IFERROR(VLOOKUP($B39,Tipologias!$A$4:$V$8,10,0),"")</f>
        <v>89</v>
      </c>
      <c r="J39" s="67">
        <f>IFERROR(VLOOKUP($B39,Tipologias!$A$4:$V$8,16,0),"")</f>
        <v>301.174</v>
      </c>
      <c r="K39" s="63" t="s">
        <v>105</v>
      </c>
      <c r="L39" s="68"/>
      <c r="M39" s="69" t="str">
        <f>IFERROR(VLOOKUP($B39,Tipologias!$A$4:$V$8,19,0),"")</f>
        <v/>
      </c>
      <c r="N39" s="69" t="str">
        <f t="shared" si="1"/>
        <v/>
      </c>
      <c r="O39" s="69"/>
      <c r="P39" s="68"/>
      <c r="Q39" s="91" t="s">
        <v>308</v>
      </c>
      <c r="R39" s="59"/>
    </row>
    <row r="40" ht="15.75" customHeight="1">
      <c r="A40" s="90" t="s">
        <v>309</v>
      </c>
      <c r="B40" s="62" t="s">
        <v>139</v>
      </c>
      <c r="C40" s="63" t="s">
        <v>52</v>
      </c>
      <c r="D40" s="63">
        <v>2.0</v>
      </c>
      <c r="E40" s="63" t="s">
        <v>57</v>
      </c>
      <c r="F40" s="66">
        <f>IFERROR(VLOOKUP($B40,Tipologias!$A$4:$V$8,5,0),"")</f>
        <v>3</v>
      </c>
      <c r="G40" s="66">
        <f>IFERROR(VLOOKUP($B40,Tipologias!$A$4:$V$8,6,0),"")</f>
        <v>3.5</v>
      </c>
      <c r="H40" s="67">
        <f>IFERROR(VLOOKUP($B40,Tipologias!$A$4:$V$8,9,0),"")</f>
        <v>179.174</v>
      </c>
      <c r="I40" s="67">
        <f>IFERROR(VLOOKUP($B40,Tipologias!$A$4:$V$8,10,0),"")</f>
        <v>89</v>
      </c>
      <c r="J40" s="67">
        <f>IFERROR(VLOOKUP($B40,Tipologias!$A$4:$V$8,16,0),"")</f>
        <v>301.174</v>
      </c>
      <c r="K40" s="63" t="s">
        <v>105</v>
      </c>
      <c r="L40" s="68"/>
      <c r="M40" s="69" t="str">
        <f>IFERROR(VLOOKUP($B40,Tipologias!$A$4:$V$8,19,0),"")</f>
        <v/>
      </c>
      <c r="N40" s="69" t="str">
        <f t="shared" si="1"/>
        <v/>
      </c>
      <c r="O40" s="69"/>
      <c r="P40" s="68"/>
      <c r="Q40" s="92" t="s">
        <v>310</v>
      </c>
      <c r="R40" s="59"/>
    </row>
    <row r="41" ht="15.75" customHeight="1">
      <c r="A41" s="90" t="s">
        <v>311</v>
      </c>
      <c r="B41" s="62" t="s">
        <v>139</v>
      </c>
      <c r="C41" s="63" t="s">
        <v>52</v>
      </c>
      <c r="D41" s="63">
        <v>2.0</v>
      </c>
      <c r="E41" s="63" t="s">
        <v>57</v>
      </c>
      <c r="F41" s="66">
        <f>IFERROR(VLOOKUP($B41,Tipologias!$A$4:$V$8,5,0),"")</f>
        <v>3</v>
      </c>
      <c r="G41" s="66">
        <f>IFERROR(VLOOKUP($B41,Tipologias!$A$4:$V$8,6,0),"")</f>
        <v>3.5</v>
      </c>
      <c r="H41" s="67">
        <f>IFERROR(VLOOKUP($B41,Tipologias!$A$4:$V$8,9,0),"")</f>
        <v>179.174</v>
      </c>
      <c r="I41" s="67">
        <f>IFERROR(VLOOKUP($B41,Tipologias!$A$4:$V$8,10,0),"")</f>
        <v>89</v>
      </c>
      <c r="J41" s="67">
        <f>IFERROR(VLOOKUP($B41,Tipologias!$A$4:$V$8,16,0),"")</f>
        <v>301.174</v>
      </c>
      <c r="K41" s="63" t="s">
        <v>105</v>
      </c>
      <c r="L41" s="68"/>
      <c r="M41" s="69" t="str">
        <f>IFERROR(VLOOKUP($B41,Tipologias!$A$4:$V$8,19,0),"")</f>
        <v/>
      </c>
      <c r="N41" s="69" t="str">
        <f t="shared" si="1"/>
        <v/>
      </c>
      <c r="O41" s="69"/>
      <c r="P41" s="68"/>
      <c r="Q41" s="92" t="s">
        <v>312</v>
      </c>
      <c r="R41" s="59"/>
    </row>
    <row r="42" ht="15.75" customHeight="1">
      <c r="A42" s="90" t="s">
        <v>313</v>
      </c>
      <c r="B42" s="62" t="s">
        <v>139</v>
      </c>
      <c r="C42" s="63" t="s">
        <v>52</v>
      </c>
      <c r="D42" s="63">
        <v>2.0</v>
      </c>
      <c r="E42" s="63" t="s">
        <v>57</v>
      </c>
      <c r="F42" s="66">
        <f>IFERROR(VLOOKUP($B42,Tipologias!$A$4:$V$8,5,0),"")</f>
        <v>3</v>
      </c>
      <c r="G42" s="66">
        <f>IFERROR(VLOOKUP($B42,Tipologias!$A$4:$V$8,6,0),"")</f>
        <v>3.5</v>
      </c>
      <c r="H42" s="67">
        <f>IFERROR(VLOOKUP($B42,Tipologias!$A$4:$V$8,9,0),"")</f>
        <v>179.174</v>
      </c>
      <c r="I42" s="67">
        <f>IFERROR(VLOOKUP($B42,Tipologias!$A$4:$V$8,10,0),"")</f>
        <v>89</v>
      </c>
      <c r="J42" s="67">
        <f>IFERROR(VLOOKUP($B42,Tipologias!$A$4:$V$8,16,0),"")</f>
        <v>301.174</v>
      </c>
      <c r="K42" s="63" t="s">
        <v>105</v>
      </c>
      <c r="L42" s="68"/>
      <c r="M42" s="69" t="str">
        <f>IFERROR(VLOOKUP($B42,Tipologias!$A$4:$V$8,19,0),"")</f>
        <v/>
      </c>
      <c r="N42" s="69" t="str">
        <f t="shared" si="1"/>
        <v/>
      </c>
      <c r="O42" s="69"/>
      <c r="P42" s="68"/>
      <c r="Q42" s="92" t="s">
        <v>312</v>
      </c>
      <c r="R42" s="59"/>
    </row>
    <row r="43" ht="15.75" customHeight="1">
      <c r="A43" s="90" t="s">
        <v>314</v>
      </c>
      <c r="B43" s="62" t="s">
        <v>139</v>
      </c>
      <c r="C43" s="63" t="s">
        <v>52</v>
      </c>
      <c r="D43" s="63">
        <v>2.0</v>
      </c>
      <c r="E43" s="63" t="s">
        <v>57</v>
      </c>
      <c r="F43" s="66">
        <f>IFERROR(VLOOKUP($B43,Tipologias!$A$4:$V$8,5,0),"")</f>
        <v>3</v>
      </c>
      <c r="G43" s="66">
        <f>IFERROR(VLOOKUP($B43,Tipologias!$A$4:$V$8,6,0),"")</f>
        <v>3.5</v>
      </c>
      <c r="H43" s="67">
        <f>IFERROR(VLOOKUP($B43,Tipologias!$A$4:$V$8,9,0),"")</f>
        <v>179.174</v>
      </c>
      <c r="I43" s="67">
        <f>IFERROR(VLOOKUP($B43,Tipologias!$A$4:$V$8,10,0),"")</f>
        <v>89</v>
      </c>
      <c r="J43" s="67">
        <f>IFERROR(VLOOKUP($B43,Tipologias!$A$4:$V$8,16,0),"")</f>
        <v>301.174</v>
      </c>
      <c r="K43" s="63" t="s">
        <v>105</v>
      </c>
      <c r="L43" s="68"/>
      <c r="M43" s="69" t="str">
        <f>IFERROR(VLOOKUP($B43,Tipologias!$A$4:$V$8,19,0),"")</f>
        <v/>
      </c>
      <c r="N43" s="69" t="str">
        <f t="shared" si="1"/>
        <v/>
      </c>
      <c r="O43" s="69"/>
      <c r="P43" s="68"/>
      <c r="Q43" s="92" t="s">
        <v>315</v>
      </c>
      <c r="R43" s="59"/>
    </row>
    <row r="44" ht="15.75" customHeight="1">
      <c r="A44" s="90" t="s">
        <v>316</v>
      </c>
      <c r="B44" s="62" t="s">
        <v>139</v>
      </c>
      <c r="C44" s="63" t="s">
        <v>52</v>
      </c>
      <c r="D44" s="63">
        <v>2.0</v>
      </c>
      <c r="E44" s="63" t="s">
        <v>57</v>
      </c>
      <c r="F44" s="66">
        <f>IFERROR(VLOOKUP($B44,Tipologias!$A$4:$V$8,5,0),"")</f>
        <v>3</v>
      </c>
      <c r="G44" s="66">
        <f>IFERROR(VLOOKUP($B44,Tipologias!$A$4:$V$8,6,0),"")</f>
        <v>3.5</v>
      </c>
      <c r="H44" s="67">
        <f>IFERROR(VLOOKUP($B44,Tipologias!$A$4:$V$8,9,0),"")</f>
        <v>179.174</v>
      </c>
      <c r="I44" s="67">
        <f>IFERROR(VLOOKUP($B44,Tipologias!$A$4:$V$8,10,0),"")</f>
        <v>89</v>
      </c>
      <c r="J44" s="67">
        <f>IFERROR(VLOOKUP($B44,Tipologias!$A$4:$V$8,16,0),"")</f>
        <v>301.174</v>
      </c>
      <c r="K44" s="63" t="s">
        <v>105</v>
      </c>
      <c r="L44" s="68"/>
      <c r="M44" s="69" t="str">
        <f>IFERROR(VLOOKUP($B44,Tipologias!$A$4:$V$8,19,0),"")</f>
        <v/>
      </c>
      <c r="N44" s="69" t="str">
        <f t="shared" si="1"/>
        <v/>
      </c>
      <c r="O44" s="69"/>
      <c r="P44" s="68"/>
      <c r="Q44" s="91" t="s">
        <v>317</v>
      </c>
      <c r="R44" s="59"/>
    </row>
    <row r="45" ht="15.75" customHeight="1">
      <c r="A45" s="90" t="s">
        <v>318</v>
      </c>
      <c r="B45" s="62" t="s">
        <v>139</v>
      </c>
      <c r="C45" s="63" t="s">
        <v>52</v>
      </c>
      <c r="D45" s="63">
        <v>2.0</v>
      </c>
      <c r="E45" s="63" t="s">
        <v>57</v>
      </c>
      <c r="F45" s="66">
        <f>IFERROR(VLOOKUP($B45,Tipologias!$A$4:$V$8,5,0),"")</f>
        <v>3</v>
      </c>
      <c r="G45" s="66">
        <f>IFERROR(VLOOKUP($B45,Tipologias!$A$4:$V$8,6,0),"")</f>
        <v>3.5</v>
      </c>
      <c r="H45" s="67">
        <f>IFERROR(VLOOKUP($B45,Tipologias!$A$4:$V$8,9,0),"")</f>
        <v>179.174</v>
      </c>
      <c r="I45" s="67">
        <f>IFERROR(VLOOKUP($B45,Tipologias!$A$4:$V$8,10,0),"")</f>
        <v>89</v>
      </c>
      <c r="J45" s="67">
        <f>IFERROR(VLOOKUP($B45,Tipologias!$A$4:$V$8,16,0),"")</f>
        <v>301.174</v>
      </c>
      <c r="K45" s="63" t="s">
        <v>105</v>
      </c>
      <c r="L45" s="68"/>
      <c r="M45" s="69" t="str">
        <f>IFERROR(VLOOKUP($B45,Tipologias!$A$4:$V$8,19,0),"")</f>
        <v/>
      </c>
      <c r="N45" s="69" t="str">
        <f t="shared" si="1"/>
        <v/>
      </c>
      <c r="O45" s="69"/>
      <c r="P45" s="68"/>
      <c r="Q45" s="92" t="s">
        <v>319</v>
      </c>
      <c r="R45" s="59"/>
    </row>
    <row r="46" ht="15.75" customHeight="1">
      <c r="A46" s="90" t="s">
        <v>320</v>
      </c>
      <c r="B46" s="62" t="s">
        <v>139</v>
      </c>
      <c r="C46" s="63" t="s">
        <v>52</v>
      </c>
      <c r="D46" s="63">
        <v>2.0</v>
      </c>
      <c r="E46" s="63" t="s">
        <v>57</v>
      </c>
      <c r="F46" s="66">
        <f>IFERROR(VLOOKUP($B46,Tipologias!$A$4:$V$8,5,0),"")</f>
        <v>3</v>
      </c>
      <c r="G46" s="66">
        <f>IFERROR(VLOOKUP($B46,Tipologias!$A$4:$V$8,6,0),"")</f>
        <v>3.5</v>
      </c>
      <c r="H46" s="67">
        <f>IFERROR(VLOOKUP($B46,Tipologias!$A$4:$V$8,9,0),"")</f>
        <v>179.174</v>
      </c>
      <c r="I46" s="67">
        <f>IFERROR(VLOOKUP($B46,Tipologias!$A$4:$V$8,10,0),"")</f>
        <v>89</v>
      </c>
      <c r="J46" s="67">
        <f>IFERROR(VLOOKUP($B46,Tipologias!$A$4:$V$8,16,0),"")</f>
        <v>301.174</v>
      </c>
      <c r="K46" s="63" t="s">
        <v>105</v>
      </c>
      <c r="L46" s="68"/>
      <c r="M46" s="69" t="str">
        <f>IFERROR(VLOOKUP($B46,Tipologias!$A$4:$V$8,19,0),"")</f>
        <v/>
      </c>
      <c r="N46" s="69" t="str">
        <f t="shared" si="1"/>
        <v/>
      </c>
      <c r="O46" s="69"/>
      <c r="P46" s="68"/>
      <c r="Q46" s="92" t="s">
        <v>321</v>
      </c>
      <c r="R46" s="59"/>
    </row>
    <row r="47" ht="15.75" customHeight="1">
      <c r="A47" s="90" t="s">
        <v>322</v>
      </c>
      <c r="B47" s="62" t="s">
        <v>139</v>
      </c>
      <c r="C47" s="63" t="s">
        <v>52</v>
      </c>
      <c r="D47" s="63">
        <v>2.0</v>
      </c>
      <c r="E47" s="63" t="s">
        <v>57</v>
      </c>
      <c r="F47" s="66">
        <f>IFERROR(VLOOKUP($B47,Tipologias!$A$4:$V$8,5,0),"")</f>
        <v>3</v>
      </c>
      <c r="G47" s="66">
        <f>IFERROR(VLOOKUP($B47,Tipologias!$A$4:$V$8,6,0),"")</f>
        <v>3.5</v>
      </c>
      <c r="H47" s="67">
        <f>IFERROR(VLOOKUP($B47,Tipologias!$A$4:$V$8,9,0),"")</f>
        <v>179.174</v>
      </c>
      <c r="I47" s="67">
        <f>IFERROR(VLOOKUP($B47,Tipologias!$A$4:$V$8,10,0),"")</f>
        <v>89</v>
      </c>
      <c r="J47" s="67">
        <f>IFERROR(VLOOKUP($B47,Tipologias!$A$4:$V$8,16,0),"")</f>
        <v>301.174</v>
      </c>
      <c r="K47" s="63" t="s">
        <v>105</v>
      </c>
      <c r="L47" s="68"/>
      <c r="M47" s="69" t="str">
        <f>IFERROR(VLOOKUP($B47,Tipologias!$A$4:$V$8,19,0),"")</f>
        <v/>
      </c>
      <c r="N47" s="69" t="str">
        <f t="shared" si="1"/>
        <v/>
      </c>
      <c r="O47" s="69"/>
      <c r="P47" s="68"/>
      <c r="Q47" s="91" t="s">
        <v>323</v>
      </c>
      <c r="R47" s="59"/>
    </row>
    <row r="48" ht="15.75" customHeight="1">
      <c r="A48" s="90" t="s">
        <v>324</v>
      </c>
      <c r="B48" s="62" t="s">
        <v>139</v>
      </c>
      <c r="C48" s="63" t="s">
        <v>52</v>
      </c>
      <c r="D48" s="63">
        <v>2.0</v>
      </c>
      <c r="E48" s="63" t="s">
        <v>57</v>
      </c>
      <c r="F48" s="66">
        <f>IFERROR(VLOOKUP($B48,Tipologias!$A$4:$V$8,5,0),"")</f>
        <v>3</v>
      </c>
      <c r="G48" s="66">
        <f>IFERROR(VLOOKUP($B48,Tipologias!$A$4:$V$8,6,0),"")</f>
        <v>3.5</v>
      </c>
      <c r="H48" s="67">
        <f>IFERROR(VLOOKUP($B48,Tipologias!$A$4:$V$8,9,0),"")</f>
        <v>179.174</v>
      </c>
      <c r="I48" s="67">
        <f>IFERROR(VLOOKUP($B48,Tipologias!$A$4:$V$8,10,0),"")</f>
        <v>89</v>
      </c>
      <c r="J48" s="67">
        <f>IFERROR(VLOOKUP($B48,Tipologias!$A$4:$V$8,16,0),"")</f>
        <v>301.174</v>
      </c>
      <c r="K48" s="63" t="s">
        <v>105</v>
      </c>
      <c r="L48" s="68"/>
      <c r="M48" s="69" t="str">
        <f>IFERROR(VLOOKUP($B48,Tipologias!$A$4:$V$8,19,0),"")</f>
        <v/>
      </c>
      <c r="N48" s="69" t="str">
        <f t="shared" si="1"/>
        <v/>
      </c>
      <c r="O48" s="69"/>
      <c r="P48" s="68"/>
      <c r="Q48" s="92" t="s">
        <v>325</v>
      </c>
      <c r="R48" s="59"/>
    </row>
    <row r="49" ht="15.75" customHeight="1">
      <c r="A49" s="90" t="s">
        <v>326</v>
      </c>
      <c r="B49" s="62" t="s">
        <v>156</v>
      </c>
      <c r="C49" s="63" t="s">
        <v>52</v>
      </c>
      <c r="D49" s="63">
        <v>1.0</v>
      </c>
      <c r="E49" s="63" t="s">
        <v>57</v>
      </c>
      <c r="F49" s="66">
        <f>IFERROR(VLOOKUP($B49,Tipologias!$A$4:$V$8,5,0),"")</f>
        <v>2</v>
      </c>
      <c r="G49" s="66">
        <f>IFERROR(VLOOKUP($B49,Tipologias!$A$4:$V$8,6,0),"")</f>
        <v>2.5</v>
      </c>
      <c r="H49" s="67">
        <f>IFERROR(VLOOKUP($B49,Tipologias!$A$4:$V$8,9,0),"")</f>
        <v>154.388</v>
      </c>
      <c r="I49" s="67">
        <f>IFERROR(VLOOKUP($B49,Tipologias!$A$4:$V$8,10,0),"")</f>
        <v>48</v>
      </c>
      <c r="J49" s="67">
        <f>IFERROR(VLOOKUP($B49,Tipologias!$A$4:$V$8,16,0),"")</f>
        <v>233.388</v>
      </c>
      <c r="K49" s="63" t="s">
        <v>105</v>
      </c>
      <c r="L49" s="68"/>
      <c r="M49" s="69" t="str">
        <f>IFERROR(VLOOKUP($B49,Tipologias!$A$4:$V$8,19,0),"")</f>
        <v/>
      </c>
      <c r="N49" s="69" t="str">
        <f t="shared" si="1"/>
        <v/>
      </c>
      <c r="O49" s="69"/>
      <c r="P49" s="68"/>
      <c r="Q49" s="91" t="s">
        <v>327</v>
      </c>
      <c r="R49" s="59"/>
    </row>
    <row r="50" ht="15.75" customHeight="1">
      <c r="A50" s="90" t="s">
        <v>328</v>
      </c>
      <c r="B50" s="62" t="s">
        <v>156</v>
      </c>
      <c r="C50" s="63" t="s">
        <v>52</v>
      </c>
      <c r="D50" s="63">
        <v>1.0</v>
      </c>
      <c r="E50" s="63" t="s">
        <v>57</v>
      </c>
      <c r="F50" s="66">
        <f>IFERROR(VLOOKUP($B50,Tipologias!$A$4:$V$8,5,0),"")</f>
        <v>2</v>
      </c>
      <c r="G50" s="66">
        <f>IFERROR(VLOOKUP($B50,Tipologias!$A$4:$V$8,6,0),"")</f>
        <v>2.5</v>
      </c>
      <c r="H50" s="67">
        <f>IFERROR(VLOOKUP($B50,Tipologias!$A$4:$V$8,9,0),"")</f>
        <v>154.388</v>
      </c>
      <c r="I50" s="67">
        <f>IFERROR(VLOOKUP($B50,Tipologias!$A$4:$V$8,10,0),"")</f>
        <v>48</v>
      </c>
      <c r="J50" s="67">
        <f>IFERROR(VLOOKUP($B50,Tipologias!$A$4:$V$8,16,0),"")</f>
        <v>233.388</v>
      </c>
      <c r="K50" s="63" t="s">
        <v>105</v>
      </c>
      <c r="L50" s="68"/>
      <c r="M50" s="69" t="str">
        <f>IFERROR(VLOOKUP($B50,Tipologias!$A$4:$V$8,19,0),"")</f>
        <v/>
      </c>
      <c r="N50" s="69" t="str">
        <f t="shared" si="1"/>
        <v/>
      </c>
      <c r="O50" s="69"/>
      <c r="P50" s="68"/>
      <c r="Q50" s="91" t="s">
        <v>329</v>
      </c>
      <c r="R50" s="59"/>
    </row>
    <row r="51" ht="15.75" customHeight="1">
      <c r="A51" s="90" t="s">
        <v>330</v>
      </c>
      <c r="B51" s="62" t="s">
        <v>156</v>
      </c>
      <c r="C51" s="63" t="s">
        <v>52</v>
      </c>
      <c r="D51" s="63">
        <v>1.0</v>
      </c>
      <c r="E51" s="63" t="s">
        <v>57</v>
      </c>
      <c r="F51" s="66">
        <f>IFERROR(VLOOKUP($B51,Tipologias!$A$4:$V$8,5,0),"")</f>
        <v>2</v>
      </c>
      <c r="G51" s="66">
        <f>IFERROR(VLOOKUP($B51,Tipologias!$A$4:$V$8,6,0),"")</f>
        <v>2.5</v>
      </c>
      <c r="H51" s="67">
        <f>IFERROR(VLOOKUP($B51,Tipologias!$A$4:$V$8,9,0),"")</f>
        <v>154.388</v>
      </c>
      <c r="I51" s="67">
        <f>IFERROR(VLOOKUP($B51,Tipologias!$A$4:$V$8,10,0),"")</f>
        <v>48</v>
      </c>
      <c r="J51" s="67">
        <f>IFERROR(VLOOKUP($B51,Tipologias!$A$4:$V$8,16,0),"")</f>
        <v>233.388</v>
      </c>
      <c r="K51" s="63" t="s">
        <v>105</v>
      </c>
      <c r="L51" s="68"/>
      <c r="M51" s="69" t="str">
        <f>IFERROR(VLOOKUP($B51,Tipologias!$A$4:$V$8,19,0),"")</f>
        <v/>
      </c>
      <c r="N51" s="69" t="str">
        <f t="shared" si="1"/>
        <v/>
      </c>
      <c r="O51" s="69"/>
      <c r="P51" s="68"/>
      <c r="Q51" s="91" t="s">
        <v>331</v>
      </c>
      <c r="R51" s="59"/>
    </row>
    <row r="52" ht="15.75" customHeight="1">
      <c r="A52" s="90" t="s">
        <v>332</v>
      </c>
      <c r="B52" s="62" t="s">
        <v>156</v>
      </c>
      <c r="C52" s="63" t="s">
        <v>52</v>
      </c>
      <c r="D52" s="63">
        <v>1.0</v>
      </c>
      <c r="E52" s="63" t="s">
        <v>57</v>
      </c>
      <c r="F52" s="66">
        <f>IFERROR(VLOOKUP($B52,Tipologias!$A$4:$V$8,5,0),"")</f>
        <v>2</v>
      </c>
      <c r="G52" s="66">
        <f>IFERROR(VLOOKUP($B52,Tipologias!$A$4:$V$8,6,0),"")</f>
        <v>2.5</v>
      </c>
      <c r="H52" s="67">
        <f>IFERROR(VLOOKUP($B52,Tipologias!$A$4:$V$8,9,0),"")</f>
        <v>154.388</v>
      </c>
      <c r="I52" s="67">
        <f>IFERROR(VLOOKUP($B52,Tipologias!$A$4:$V$8,10,0),"")</f>
        <v>48</v>
      </c>
      <c r="J52" s="67">
        <f>IFERROR(VLOOKUP($B52,Tipologias!$A$4:$V$8,16,0),"")</f>
        <v>233.388</v>
      </c>
      <c r="K52" s="63" t="s">
        <v>105</v>
      </c>
      <c r="L52" s="68"/>
      <c r="M52" s="69" t="str">
        <f>IFERROR(VLOOKUP($B52,Tipologias!$A$4:$V$8,19,0),"")</f>
        <v/>
      </c>
      <c r="N52" s="69" t="str">
        <f t="shared" si="1"/>
        <v/>
      </c>
      <c r="O52" s="69"/>
      <c r="P52" s="68"/>
      <c r="Q52" s="91" t="s">
        <v>333</v>
      </c>
      <c r="R52" s="59"/>
    </row>
    <row r="53" ht="15.75" customHeight="1">
      <c r="A53" s="90" t="s">
        <v>334</v>
      </c>
      <c r="B53" s="62" t="s">
        <v>156</v>
      </c>
      <c r="C53" s="63" t="s">
        <v>52</v>
      </c>
      <c r="D53" s="63">
        <v>1.0</v>
      </c>
      <c r="E53" s="63" t="s">
        <v>57</v>
      </c>
      <c r="F53" s="66">
        <f>IFERROR(VLOOKUP($B53,Tipologias!$A$4:$V$8,5,0),"")</f>
        <v>2</v>
      </c>
      <c r="G53" s="66">
        <f>IFERROR(VLOOKUP($B53,Tipologias!$A$4:$V$8,6,0),"")</f>
        <v>2.5</v>
      </c>
      <c r="H53" s="67">
        <f>IFERROR(VLOOKUP($B53,Tipologias!$A$4:$V$8,9,0),"")</f>
        <v>154.388</v>
      </c>
      <c r="I53" s="67">
        <f>IFERROR(VLOOKUP($B53,Tipologias!$A$4:$V$8,10,0),"")</f>
        <v>48</v>
      </c>
      <c r="J53" s="67">
        <f>IFERROR(VLOOKUP($B53,Tipologias!$A$4:$V$8,16,0),"")</f>
        <v>233.388</v>
      </c>
      <c r="K53" s="63" t="s">
        <v>105</v>
      </c>
      <c r="L53" s="68"/>
      <c r="M53" s="69" t="str">
        <f>IFERROR(VLOOKUP($B53,Tipologias!$A$4:$V$8,19,0),"")</f>
        <v/>
      </c>
      <c r="N53" s="69" t="str">
        <f t="shared" si="1"/>
        <v/>
      </c>
      <c r="O53" s="69"/>
      <c r="P53" s="68"/>
      <c r="Q53" s="91" t="s">
        <v>335</v>
      </c>
      <c r="R53" s="59"/>
    </row>
    <row r="54" ht="15.75" customHeight="1">
      <c r="A54" s="90" t="s">
        <v>336</v>
      </c>
      <c r="B54" s="62" t="s">
        <v>156</v>
      </c>
      <c r="C54" s="63" t="s">
        <v>52</v>
      </c>
      <c r="D54" s="63">
        <v>1.0</v>
      </c>
      <c r="E54" s="63" t="s">
        <v>57</v>
      </c>
      <c r="F54" s="66">
        <f>IFERROR(VLOOKUP($B54,Tipologias!$A$4:$V$8,5,0),"")</f>
        <v>2</v>
      </c>
      <c r="G54" s="66">
        <f>IFERROR(VLOOKUP($B54,Tipologias!$A$4:$V$8,6,0),"")</f>
        <v>2.5</v>
      </c>
      <c r="H54" s="67">
        <f>IFERROR(VLOOKUP($B54,Tipologias!$A$4:$V$8,9,0),"")</f>
        <v>154.388</v>
      </c>
      <c r="I54" s="67">
        <f>IFERROR(VLOOKUP($B54,Tipologias!$A$4:$V$8,10,0),"")</f>
        <v>48</v>
      </c>
      <c r="J54" s="67">
        <f>IFERROR(VLOOKUP($B54,Tipologias!$A$4:$V$8,16,0),"")</f>
        <v>233.388</v>
      </c>
      <c r="K54" s="63" t="s">
        <v>105</v>
      </c>
      <c r="L54" s="68"/>
      <c r="M54" s="69" t="str">
        <f>IFERROR(VLOOKUP($B54,Tipologias!$A$4:$V$8,19,0),"")</f>
        <v/>
      </c>
      <c r="N54" s="69" t="str">
        <f t="shared" si="1"/>
        <v/>
      </c>
      <c r="O54" s="69"/>
      <c r="P54" s="68"/>
      <c r="Q54" s="91" t="s">
        <v>337</v>
      </c>
      <c r="R54" s="59"/>
    </row>
    <row r="55" ht="15.75" customHeight="1">
      <c r="A55" s="90" t="s">
        <v>338</v>
      </c>
      <c r="B55" s="62" t="s">
        <v>156</v>
      </c>
      <c r="C55" s="63" t="s">
        <v>52</v>
      </c>
      <c r="D55" s="63">
        <v>1.0</v>
      </c>
      <c r="E55" s="63" t="s">
        <v>57</v>
      </c>
      <c r="F55" s="66">
        <f>IFERROR(VLOOKUP($B55,Tipologias!$A$4:$V$8,5,0),"")</f>
        <v>2</v>
      </c>
      <c r="G55" s="66">
        <f>IFERROR(VLOOKUP($B55,Tipologias!$A$4:$V$8,6,0),"")</f>
        <v>2.5</v>
      </c>
      <c r="H55" s="67">
        <f>IFERROR(VLOOKUP($B55,Tipologias!$A$4:$V$8,9,0),"")</f>
        <v>154.388</v>
      </c>
      <c r="I55" s="67">
        <f>IFERROR(VLOOKUP($B55,Tipologias!$A$4:$V$8,10,0),"")</f>
        <v>48</v>
      </c>
      <c r="J55" s="67">
        <f>IFERROR(VLOOKUP($B55,Tipologias!$A$4:$V$8,16,0),"")</f>
        <v>233.388</v>
      </c>
      <c r="K55" s="63" t="s">
        <v>105</v>
      </c>
      <c r="L55" s="68"/>
      <c r="M55" s="69" t="str">
        <f>IFERROR(VLOOKUP($B55,Tipologias!$A$4:$V$8,19,0),"")</f>
        <v/>
      </c>
      <c r="N55" s="69" t="str">
        <f t="shared" si="1"/>
        <v/>
      </c>
      <c r="O55" s="69"/>
      <c r="P55" s="68"/>
      <c r="Q55" s="91" t="s">
        <v>339</v>
      </c>
      <c r="R55" s="59"/>
    </row>
    <row r="56" ht="15.75" customHeight="1">
      <c r="A56" s="90" t="s">
        <v>340</v>
      </c>
      <c r="B56" s="62" t="s">
        <v>156</v>
      </c>
      <c r="C56" s="63" t="s">
        <v>52</v>
      </c>
      <c r="D56" s="63">
        <v>1.0</v>
      </c>
      <c r="E56" s="63" t="s">
        <v>57</v>
      </c>
      <c r="F56" s="66">
        <f>IFERROR(VLOOKUP($B56,Tipologias!$A$4:$V$8,5,0),"")</f>
        <v>2</v>
      </c>
      <c r="G56" s="66">
        <f>IFERROR(VLOOKUP($B56,Tipologias!$A$4:$V$8,6,0),"")</f>
        <v>2.5</v>
      </c>
      <c r="H56" s="67">
        <f>IFERROR(VLOOKUP($B56,Tipologias!$A$4:$V$8,9,0),"")</f>
        <v>154.388</v>
      </c>
      <c r="I56" s="67">
        <f>IFERROR(VLOOKUP($B56,Tipologias!$A$4:$V$8,10,0),"")</f>
        <v>48</v>
      </c>
      <c r="J56" s="67">
        <f>IFERROR(VLOOKUP($B56,Tipologias!$A$4:$V$8,16,0),"")</f>
        <v>233.388</v>
      </c>
      <c r="K56" s="63" t="s">
        <v>105</v>
      </c>
      <c r="L56" s="68"/>
      <c r="M56" s="69" t="str">
        <f>IFERROR(VLOOKUP($B56,Tipologias!$A$4:$V$8,19,0),"")</f>
        <v/>
      </c>
      <c r="N56" s="69" t="str">
        <f t="shared" si="1"/>
        <v/>
      </c>
      <c r="O56" s="69"/>
      <c r="P56" s="68"/>
      <c r="Q56" s="92" t="s">
        <v>341</v>
      </c>
      <c r="R56" s="59"/>
    </row>
    <row r="57" ht="15.75" customHeight="1">
      <c r="A57" s="90" t="s">
        <v>342</v>
      </c>
      <c r="B57" s="62" t="s">
        <v>156</v>
      </c>
      <c r="C57" s="63" t="s">
        <v>52</v>
      </c>
      <c r="D57" s="63">
        <v>1.0</v>
      </c>
      <c r="E57" s="63" t="s">
        <v>57</v>
      </c>
      <c r="F57" s="66">
        <f>IFERROR(VLOOKUP($B57,Tipologias!$A$4:$V$8,5,0),"")</f>
        <v>2</v>
      </c>
      <c r="G57" s="66">
        <f>IFERROR(VLOOKUP($B57,Tipologias!$A$4:$V$8,6,0),"")</f>
        <v>2.5</v>
      </c>
      <c r="H57" s="67">
        <f>IFERROR(VLOOKUP($B57,Tipologias!$A$4:$V$8,9,0),"")</f>
        <v>154.388</v>
      </c>
      <c r="I57" s="67">
        <f>IFERROR(VLOOKUP($B57,Tipologias!$A$4:$V$8,10,0),"")</f>
        <v>48</v>
      </c>
      <c r="J57" s="67">
        <f>IFERROR(VLOOKUP($B57,Tipologias!$A$4:$V$8,16,0),"")</f>
        <v>233.388</v>
      </c>
      <c r="K57" s="63" t="s">
        <v>105</v>
      </c>
      <c r="L57" s="68"/>
      <c r="M57" s="69" t="str">
        <f>IFERROR(VLOOKUP($B57,Tipologias!$A$4:$V$8,19,0),"")</f>
        <v/>
      </c>
      <c r="N57" s="69" t="str">
        <f t="shared" si="1"/>
        <v/>
      </c>
      <c r="O57" s="69"/>
      <c r="P57" s="68"/>
      <c r="Q57" s="92" t="s">
        <v>343</v>
      </c>
      <c r="R57" s="59"/>
    </row>
    <row r="58" ht="15.75" customHeight="1">
      <c r="A58" s="90" t="s">
        <v>344</v>
      </c>
      <c r="B58" s="62" t="s">
        <v>156</v>
      </c>
      <c r="C58" s="63" t="s">
        <v>52</v>
      </c>
      <c r="D58" s="63">
        <v>1.0</v>
      </c>
      <c r="E58" s="63" t="s">
        <v>57</v>
      </c>
      <c r="F58" s="66">
        <f>IFERROR(VLOOKUP($B58,Tipologias!$A$4:$V$8,5,0),"")</f>
        <v>2</v>
      </c>
      <c r="G58" s="66">
        <f>IFERROR(VLOOKUP($B58,Tipologias!$A$4:$V$8,6,0),"")</f>
        <v>2.5</v>
      </c>
      <c r="H58" s="67">
        <f>IFERROR(VLOOKUP($B58,Tipologias!$A$4:$V$8,9,0),"")</f>
        <v>154.388</v>
      </c>
      <c r="I58" s="67">
        <f>IFERROR(VLOOKUP($B58,Tipologias!$A$4:$V$8,10,0),"")</f>
        <v>48</v>
      </c>
      <c r="J58" s="67">
        <f>IFERROR(VLOOKUP($B58,Tipologias!$A$4:$V$8,16,0),"")</f>
        <v>233.388</v>
      </c>
      <c r="K58" s="63" t="s">
        <v>105</v>
      </c>
      <c r="L58" s="68"/>
      <c r="M58" s="69" t="str">
        <f>IFERROR(VLOOKUP($B58,Tipologias!$A$4:$V$8,19,0),"")</f>
        <v/>
      </c>
      <c r="N58" s="69" t="str">
        <f t="shared" si="1"/>
        <v/>
      </c>
      <c r="O58" s="69"/>
      <c r="P58" s="68"/>
      <c r="Q58" s="92" t="s">
        <v>345</v>
      </c>
      <c r="R58" s="59"/>
    </row>
    <row r="59" ht="15.75" customHeight="1">
      <c r="A59" s="90" t="s">
        <v>346</v>
      </c>
      <c r="B59" s="62" t="s">
        <v>156</v>
      </c>
      <c r="C59" s="63" t="s">
        <v>52</v>
      </c>
      <c r="D59" s="63">
        <v>1.0</v>
      </c>
      <c r="E59" s="63" t="s">
        <v>57</v>
      </c>
      <c r="F59" s="66">
        <f>IFERROR(VLOOKUP($B59,Tipologias!$A$4:$V$8,5,0),"")</f>
        <v>2</v>
      </c>
      <c r="G59" s="66">
        <f>IFERROR(VLOOKUP($B59,Tipologias!$A$4:$V$8,6,0),"")</f>
        <v>2.5</v>
      </c>
      <c r="H59" s="67">
        <f>IFERROR(VLOOKUP($B59,Tipologias!$A$4:$V$8,9,0),"")</f>
        <v>154.388</v>
      </c>
      <c r="I59" s="67">
        <f>IFERROR(VLOOKUP($B59,Tipologias!$A$4:$V$8,10,0),"")</f>
        <v>48</v>
      </c>
      <c r="J59" s="67">
        <f>IFERROR(VLOOKUP($B59,Tipologias!$A$4:$V$8,16,0),"")</f>
        <v>233.388</v>
      </c>
      <c r="K59" s="63" t="s">
        <v>105</v>
      </c>
      <c r="L59" s="68"/>
      <c r="M59" s="69" t="str">
        <f>IFERROR(VLOOKUP($B59,Tipologias!$A$4:$V$8,19,0),"")</f>
        <v/>
      </c>
      <c r="N59" s="69" t="str">
        <f t="shared" si="1"/>
        <v/>
      </c>
      <c r="O59" s="69"/>
      <c r="P59" s="68"/>
      <c r="Q59" s="91" t="s">
        <v>347</v>
      </c>
      <c r="R59" s="59"/>
    </row>
    <row r="60" ht="15.75" customHeight="1">
      <c r="A60" s="90" t="s">
        <v>348</v>
      </c>
      <c r="B60" s="62" t="s">
        <v>156</v>
      </c>
      <c r="C60" s="63" t="s">
        <v>52</v>
      </c>
      <c r="D60" s="63">
        <v>1.0</v>
      </c>
      <c r="E60" s="63" t="s">
        <v>57</v>
      </c>
      <c r="F60" s="66">
        <f>IFERROR(VLOOKUP($B60,Tipologias!$A$4:$V$8,5,0),"")</f>
        <v>2</v>
      </c>
      <c r="G60" s="66">
        <f>IFERROR(VLOOKUP($B60,Tipologias!$A$4:$V$8,6,0),"")</f>
        <v>2.5</v>
      </c>
      <c r="H60" s="67">
        <f>IFERROR(VLOOKUP($B60,Tipologias!$A$4:$V$8,9,0),"")</f>
        <v>154.388</v>
      </c>
      <c r="I60" s="67">
        <f>IFERROR(VLOOKUP($B60,Tipologias!$A$4:$V$8,10,0),"")</f>
        <v>48</v>
      </c>
      <c r="J60" s="67">
        <f>IFERROR(VLOOKUP($B60,Tipologias!$A$4:$V$8,16,0),"")</f>
        <v>233.388</v>
      </c>
      <c r="K60" s="63" t="s">
        <v>105</v>
      </c>
      <c r="L60" s="68"/>
      <c r="M60" s="69" t="str">
        <f>IFERROR(VLOOKUP($B60,Tipologias!$A$4:$V$8,19,0),"")</f>
        <v/>
      </c>
      <c r="N60" s="69" t="str">
        <f t="shared" si="1"/>
        <v/>
      </c>
      <c r="O60" s="69"/>
      <c r="P60" s="68"/>
      <c r="Q60" s="91" t="s">
        <v>349</v>
      </c>
      <c r="R60" s="59"/>
    </row>
    <row r="61" ht="15.75" customHeight="1">
      <c r="A61" s="90" t="s">
        <v>350</v>
      </c>
      <c r="B61" s="62" t="s">
        <v>156</v>
      </c>
      <c r="C61" s="63" t="s">
        <v>52</v>
      </c>
      <c r="D61" s="63">
        <v>1.0</v>
      </c>
      <c r="E61" s="63" t="s">
        <v>57</v>
      </c>
      <c r="F61" s="66">
        <f>IFERROR(VLOOKUP($B61,Tipologias!$A$4:$V$8,5,0),"")</f>
        <v>2</v>
      </c>
      <c r="G61" s="66">
        <f>IFERROR(VLOOKUP($B61,Tipologias!$A$4:$V$8,6,0),"")</f>
        <v>2.5</v>
      </c>
      <c r="H61" s="67">
        <f>IFERROR(VLOOKUP($B61,Tipologias!$A$4:$V$8,9,0),"")</f>
        <v>154.388</v>
      </c>
      <c r="I61" s="67">
        <f>IFERROR(VLOOKUP($B61,Tipologias!$A$4:$V$8,10,0),"")</f>
        <v>48</v>
      </c>
      <c r="J61" s="67">
        <f>IFERROR(VLOOKUP($B61,Tipologias!$A$4:$V$8,16,0),"")</f>
        <v>233.388</v>
      </c>
      <c r="K61" s="63" t="s">
        <v>105</v>
      </c>
      <c r="L61" s="68"/>
      <c r="M61" s="69" t="str">
        <f>IFERROR(VLOOKUP($B61,Tipologias!$A$4:$V$8,19,0),"")</f>
        <v/>
      </c>
      <c r="N61" s="69" t="str">
        <f t="shared" si="1"/>
        <v/>
      </c>
      <c r="O61" s="69"/>
      <c r="P61" s="68"/>
      <c r="Q61" s="91" t="s">
        <v>351</v>
      </c>
      <c r="R61" s="59"/>
    </row>
    <row r="62" ht="15.75" customHeight="1">
      <c r="A62" s="90" t="s">
        <v>352</v>
      </c>
      <c r="B62" s="62" t="s">
        <v>156</v>
      </c>
      <c r="C62" s="63" t="s">
        <v>52</v>
      </c>
      <c r="D62" s="63">
        <v>1.0</v>
      </c>
      <c r="E62" s="63" t="s">
        <v>57</v>
      </c>
      <c r="F62" s="66">
        <f>IFERROR(VLOOKUP($B62,Tipologias!$A$4:$V$8,5,0),"")</f>
        <v>2</v>
      </c>
      <c r="G62" s="66">
        <f>IFERROR(VLOOKUP($B62,Tipologias!$A$4:$V$8,6,0),"")</f>
        <v>2.5</v>
      </c>
      <c r="H62" s="67">
        <f>IFERROR(VLOOKUP($B62,Tipologias!$A$4:$V$8,9,0),"")</f>
        <v>154.388</v>
      </c>
      <c r="I62" s="67">
        <f>IFERROR(VLOOKUP($B62,Tipologias!$A$4:$V$8,10,0),"")</f>
        <v>48</v>
      </c>
      <c r="J62" s="67">
        <f>IFERROR(VLOOKUP($B62,Tipologias!$A$4:$V$8,16,0),"")</f>
        <v>233.388</v>
      </c>
      <c r="K62" s="63" t="s">
        <v>105</v>
      </c>
      <c r="L62" s="68"/>
      <c r="M62" s="69" t="str">
        <f>IFERROR(VLOOKUP($B62,Tipologias!$A$4:$V$8,19,0),"")</f>
        <v/>
      </c>
      <c r="N62" s="69" t="str">
        <f t="shared" si="1"/>
        <v/>
      </c>
      <c r="O62" s="69"/>
      <c r="P62" s="68"/>
      <c r="Q62" s="91" t="s">
        <v>353</v>
      </c>
      <c r="R62" s="59"/>
    </row>
    <row r="63" ht="15.75" customHeight="1">
      <c r="A63" s="90" t="s">
        <v>354</v>
      </c>
      <c r="B63" s="62" t="s">
        <v>156</v>
      </c>
      <c r="C63" s="63" t="s">
        <v>52</v>
      </c>
      <c r="D63" s="63">
        <v>1.0</v>
      </c>
      <c r="E63" s="63" t="s">
        <v>57</v>
      </c>
      <c r="F63" s="66">
        <f>IFERROR(VLOOKUP($B63,Tipologias!$A$4:$V$8,5,0),"")</f>
        <v>2</v>
      </c>
      <c r="G63" s="66">
        <f>IFERROR(VLOOKUP($B63,Tipologias!$A$4:$V$8,6,0),"")</f>
        <v>2.5</v>
      </c>
      <c r="H63" s="67">
        <f>IFERROR(VLOOKUP($B63,Tipologias!$A$4:$V$8,9,0),"")</f>
        <v>154.388</v>
      </c>
      <c r="I63" s="67">
        <f>IFERROR(VLOOKUP($B63,Tipologias!$A$4:$V$8,10,0),"")</f>
        <v>48</v>
      </c>
      <c r="J63" s="67">
        <f>IFERROR(VLOOKUP($B63,Tipologias!$A$4:$V$8,16,0),"")</f>
        <v>233.388</v>
      </c>
      <c r="K63" s="63" t="s">
        <v>105</v>
      </c>
      <c r="L63" s="68"/>
      <c r="M63" s="69" t="str">
        <f>IFERROR(VLOOKUP($B63,Tipologias!$A$4:$V$8,19,0),"")</f>
        <v/>
      </c>
      <c r="N63" s="69" t="str">
        <f t="shared" si="1"/>
        <v/>
      </c>
      <c r="O63" s="69"/>
      <c r="P63" s="68"/>
      <c r="Q63" s="91" t="s">
        <v>355</v>
      </c>
      <c r="R63" s="59"/>
    </row>
    <row r="64" ht="15.75" customHeight="1">
      <c r="A64" s="90" t="s">
        <v>356</v>
      </c>
      <c r="B64" s="62" t="s">
        <v>156</v>
      </c>
      <c r="C64" s="63" t="s">
        <v>52</v>
      </c>
      <c r="D64" s="63">
        <v>1.0</v>
      </c>
      <c r="E64" s="63" t="s">
        <v>57</v>
      </c>
      <c r="F64" s="66">
        <f>IFERROR(VLOOKUP($B64,Tipologias!$A$4:$V$8,5,0),"")</f>
        <v>2</v>
      </c>
      <c r="G64" s="66">
        <f>IFERROR(VLOOKUP($B64,Tipologias!$A$4:$V$8,6,0),"")</f>
        <v>2.5</v>
      </c>
      <c r="H64" s="67">
        <f>IFERROR(VLOOKUP($B64,Tipologias!$A$4:$V$8,9,0),"")</f>
        <v>154.388</v>
      </c>
      <c r="I64" s="67">
        <f>IFERROR(VLOOKUP($B64,Tipologias!$A$4:$V$8,10,0),"")</f>
        <v>48</v>
      </c>
      <c r="J64" s="67">
        <f>IFERROR(VLOOKUP($B64,Tipologias!$A$4:$V$8,16,0),"")</f>
        <v>233.388</v>
      </c>
      <c r="K64" s="63" t="s">
        <v>105</v>
      </c>
      <c r="L64" s="68"/>
      <c r="M64" s="69" t="str">
        <f>IFERROR(VLOOKUP($B64,Tipologias!$A$4:$V$8,19,0),"")</f>
        <v/>
      </c>
      <c r="N64" s="69" t="str">
        <f t="shared" si="1"/>
        <v/>
      </c>
      <c r="O64" s="69"/>
      <c r="P64" s="68"/>
      <c r="Q64" s="91" t="s">
        <v>357</v>
      </c>
      <c r="R64" s="59"/>
    </row>
    <row r="65" ht="15.75" customHeight="1">
      <c r="A65" s="90" t="s">
        <v>358</v>
      </c>
      <c r="B65" s="62" t="s">
        <v>156</v>
      </c>
      <c r="C65" s="63" t="s">
        <v>52</v>
      </c>
      <c r="D65" s="63">
        <v>1.0</v>
      </c>
      <c r="E65" s="63" t="s">
        <v>57</v>
      </c>
      <c r="F65" s="66">
        <f>IFERROR(VLOOKUP($B65,Tipologias!$A$4:$V$8,5,0),"")</f>
        <v>2</v>
      </c>
      <c r="G65" s="66">
        <f>IFERROR(VLOOKUP($B65,Tipologias!$A$4:$V$8,6,0),"")</f>
        <v>2.5</v>
      </c>
      <c r="H65" s="67">
        <f>IFERROR(VLOOKUP($B65,Tipologias!$A$4:$V$8,9,0),"")</f>
        <v>154.388</v>
      </c>
      <c r="I65" s="67">
        <f>IFERROR(VLOOKUP($B65,Tipologias!$A$4:$V$8,10,0),"")</f>
        <v>48</v>
      </c>
      <c r="J65" s="67">
        <f>IFERROR(VLOOKUP($B65,Tipologias!$A$4:$V$8,16,0),"")</f>
        <v>233.388</v>
      </c>
      <c r="K65" s="63" t="s">
        <v>105</v>
      </c>
      <c r="L65" s="68"/>
      <c r="M65" s="69" t="str">
        <f>IFERROR(VLOOKUP($B65,Tipologias!$A$4:$V$8,19,0),"")</f>
        <v/>
      </c>
      <c r="N65" s="69" t="str">
        <f t="shared" si="1"/>
        <v/>
      </c>
      <c r="O65" s="69"/>
      <c r="P65" s="68"/>
      <c r="Q65" s="91" t="s">
        <v>359</v>
      </c>
      <c r="R65" s="59"/>
    </row>
    <row r="66" ht="15.75" customHeight="1">
      <c r="A66" s="90" t="s">
        <v>360</v>
      </c>
      <c r="B66" s="62" t="s">
        <v>156</v>
      </c>
      <c r="C66" s="63" t="s">
        <v>52</v>
      </c>
      <c r="D66" s="63">
        <v>1.0</v>
      </c>
      <c r="E66" s="63" t="s">
        <v>57</v>
      </c>
      <c r="F66" s="66">
        <f>IFERROR(VLOOKUP($B66,Tipologias!$A$4:$V$8,5,0),"")</f>
        <v>2</v>
      </c>
      <c r="G66" s="66">
        <f>IFERROR(VLOOKUP($B66,Tipologias!$A$4:$V$8,6,0),"")</f>
        <v>2.5</v>
      </c>
      <c r="H66" s="67">
        <f>IFERROR(VLOOKUP($B66,Tipologias!$A$4:$V$8,9,0),"")</f>
        <v>154.388</v>
      </c>
      <c r="I66" s="67">
        <f>IFERROR(VLOOKUP($B66,Tipologias!$A$4:$V$8,10,0),"")</f>
        <v>48</v>
      </c>
      <c r="J66" s="67">
        <f>IFERROR(VLOOKUP($B66,Tipologias!$A$4:$V$8,16,0),"")</f>
        <v>233.388</v>
      </c>
      <c r="K66" s="63" t="s">
        <v>105</v>
      </c>
      <c r="L66" s="68"/>
      <c r="M66" s="69" t="str">
        <f>IFERROR(VLOOKUP($B66,Tipologias!$A$4:$V$8,19,0),"")</f>
        <v/>
      </c>
      <c r="N66" s="69" t="str">
        <f t="shared" si="1"/>
        <v/>
      </c>
      <c r="O66" s="69"/>
      <c r="P66" s="68"/>
      <c r="Q66" s="91" t="s">
        <v>361</v>
      </c>
      <c r="R66" s="59"/>
    </row>
    <row r="67" ht="15.75" customHeight="1">
      <c r="A67" s="90" t="s">
        <v>362</v>
      </c>
      <c r="B67" s="62" t="s">
        <v>156</v>
      </c>
      <c r="C67" s="63" t="s">
        <v>52</v>
      </c>
      <c r="D67" s="63">
        <v>1.0</v>
      </c>
      <c r="E67" s="63" t="s">
        <v>57</v>
      </c>
      <c r="F67" s="66">
        <f>IFERROR(VLOOKUP($B67,Tipologias!$A$4:$V$8,5,0),"")</f>
        <v>2</v>
      </c>
      <c r="G67" s="66">
        <f>IFERROR(VLOOKUP($B67,Tipologias!$A$4:$V$8,6,0),"")</f>
        <v>2.5</v>
      </c>
      <c r="H67" s="67">
        <f>IFERROR(VLOOKUP($B67,Tipologias!$A$4:$V$8,9,0),"")</f>
        <v>154.388</v>
      </c>
      <c r="I67" s="67">
        <f>IFERROR(VLOOKUP($B67,Tipologias!$A$4:$V$8,10,0),"")</f>
        <v>48</v>
      </c>
      <c r="J67" s="67">
        <f>IFERROR(VLOOKUP($B67,Tipologias!$A$4:$V$8,16,0),"")</f>
        <v>233.388</v>
      </c>
      <c r="K67" s="63" t="s">
        <v>105</v>
      </c>
      <c r="L67" s="68"/>
      <c r="M67" s="69" t="str">
        <f>IFERROR(VLOOKUP($B67,Tipologias!$A$4:$V$8,19,0),"")</f>
        <v/>
      </c>
      <c r="N67" s="69" t="str">
        <f t="shared" si="1"/>
        <v/>
      </c>
      <c r="O67" s="69"/>
      <c r="P67" s="68"/>
      <c r="Q67" s="91" t="s">
        <v>363</v>
      </c>
      <c r="R67" s="59"/>
    </row>
    <row r="68" ht="15.75" customHeight="1">
      <c r="A68" s="90" t="s">
        <v>364</v>
      </c>
      <c r="B68" s="62" t="s">
        <v>156</v>
      </c>
      <c r="C68" s="63" t="s">
        <v>52</v>
      </c>
      <c r="D68" s="63">
        <v>1.0</v>
      </c>
      <c r="E68" s="63" t="s">
        <v>57</v>
      </c>
      <c r="F68" s="66">
        <f>IFERROR(VLOOKUP($B68,Tipologias!$A$4:$V$8,5,0),"")</f>
        <v>2</v>
      </c>
      <c r="G68" s="66">
        <f>IFERROR(VLOOKUP($B68,Tipologias!$A$4:$V$8,6,0),"")</f>
        <v>2.5</v>
      </c>
      <c r="H68" s="67">
        <f>IFERROR(VLOOKUP($B68,Tipologias!$A$4:$V$8,9,0),"")</f>
        <v>154.388</v>
      </c>
      <c r="I68" s="67">
        <f>IFERROR(VLOOKUP($B68,Tipologias!$A$4:$V$8,10,0),"")</f>
        <v>48</v>
      </c>
      <c r="J68" s="67">
        <f>IFERROR(VLOOKUP($B68,Tipologias!$A$4:$V$8,16,0),"")</f>
        <v>233.388</v>
      </c>
      <c r="K68" s="63" t="s">
        <v>105</v>
      </c>
      <c r="L68" s="68"/>
      <c r="M68" s="69" t="str">
        <f>IFERROR(VLOOKUP($B68,Tipologias!$A$4:$V$8,19,0),"")</f>
        <v/>
      </c>
      <c r="N68" s="69" t="str">
        <f t="shared" si="1"/>
        <v/>
      </c>
      <c r="O68" s="69"/>
      <c r="P68" s="68"/>
      <c r="Q68" s="91" t="s">
        <v>365</v>
      </c>
      <c r="R68" s="59"/>
    </row>
    <row r="69" ht="15.75" customHeight="1">
      <c r="A69" s="90" t="s">
        <v>366</v>
      </c>
      <c r="B69" s="62" t="s">
        <v>156</v>
      </c>
      <c r="C69" s="63" t="s">
        <v>52</v>
      </c>
      <c r="D69" s="63">
        <v>1.0</v>
      </c>
      <c r="E69" s="63" t="s">
        <v>57</v>
      </c>
      <c r="F69" s="66">
        <f>IFERROR(VLOOKUP($B69,Tipologias!$A$4:$V$8,5,0),"")</f>
        <v>2</v>
      </c>
      <c r="G69" s="66">
        <f>IFERROR(VLOOKUP($B69,Tipologias!$A$4:$V$8,6,0),"")</f>
        <v>2.5</v>
      </c>
      <c r="H69" s="67">
        <f>IFERROR(VLOOKUP($B69,Tipologias!$A$4:$V$8,9,0),"")</f>
        <v>154.388</v>
      </c>
      <c r="I69" s="67">
        <f>IFERROR(VLOOKUP($B69,Tipologias!$A$4:$V$8,10,0),"")</f>
        <v>48</v>
      </c>
      <c r="J69" s="67">
        <f>IFERROR(VLOOKUP($B69,Tipologias!$A$4:$V$8,16,0),"")</f>
        <v>233.388</v>
      </c>
      <c r="K69" s="63" t="s">
        <v>105</v>
      </c>
      <c r="L69" s="68"/>
      <c r="M69" s="69" t="str">
        <f>IFERROR(VLOOKUP($B69,Tipologias!$A$4:$V$8,19,0),"")</f>
        <v/>
      </c>
      <c r="N69" s="69" t="str">
        <f t="shared" si="1"/>
        <v/>
      </c>
      <c r="O69" s="69"/>
      <c r="P69" s="68"/>
      <c r="Q69" s="92" t="s">
        <v>367</v>
      </c>
      <c r="R69" s="59"/>
    </row>
    <row r="70" ht="15.75" customHeight="1">
      <c r="A70" s="90" t="s">
        <v>368</v>
      </c>
      <c r="B70" s="62" t="s">
        <v>156</v>
      </c>
      <c r="C70" s="63" t="s">
        <v>52</v>
      </c>
      <c r="D70" s="63">
        <v>1.0</v>
      </c>
      <c r="E70" s="63" t="s">
        <v>57</v>
      </c>
      <c r="F70" s="66">
        <f>IFERROR(VLOOKUP($B70,Tipologias!$A$4:$V$8,5,0),"")</f>
        <v>2</v>
      </c>
      <c r="G70" s="66">
        <f>IFERROR(VLOOKUP($B70,Tipologias!$A$4:$V$8,6,0),"")</f>
        <v>2.5</v>
      </c>
      <c r="H70" s="67">
        <f>IFERROR(VLOOKUP($B70,Tipologias!$A$4:$V$8,9,0),"")</f>
        <v>154.388</v>
      </c>
      <c r="I70" s="67">
        <f>IFERROR(VLOOKUP($B70,Tipologias!$A$4:$V$8,10,0),"")</f>
        <v>48</v>
      </c>
      <c r="J70" s="67">
        <f>IFERROR(VLOOKUP($B70,Tipologias!$A$4:$V$8,16,0),"")</f>
        <v>233.388</v>
      </c>
      <c r="K70" s="63" t="s">
        <v>105</v>
      </c>
      <c r="L70" s="68"/>
      <c r="M70" s="69" t="str">
        <f>IFERROR(VLOOKUP($B70,Tipologias!$A$4:$V$8,19,0),"")</f>
        <v/>
      </c>
      <c r="N70" s="69" t="str">
        <f t="shared" si="1"/>
        <v/>
      </c>
      <c r="O70" s="69"/>
      <c r="P70" s="68"/>
      <c r="Q70" s="91" t="s">
        <v>369</v>
      </c>
      <c r="R70" s="59"/>
    </row>
    <row r="71" ht="15.75" customHeight="1">
      <c r="A71" s="90" t="s">
        <v>370</v>
      </c>
      <c r="B71" s="62" t="s">
        <v>156</v>
      </c>
      <c r="C71" s="63" t="s">
        <v>52</v>
      </c>
      <c r="D71" s="63">
        <v>1.0</v>
      </c>
      <c r="E71" s="63" t="s">
        <v>57</v>
      </c>
      <c r="F71" s="66">
        <f>IFERROR(VLOOKUP($B71,Tipologias!$A$4:$V$8,5,0),"")</f>
        <v>2</v>
      </c>
      <c r="G71" s="66">
        <f>IFERROR(VLOOKUP($B71,Tipologias!$A$4:$V$8,6,0),"")</f>
        <v>2.5</v>
      </c>
      <c r="H71" s="67">
        <f>IFERROR(VLOOKUP($B71,Tipologias!$A$4:$V$8,9,0),"")</f>
        <v>154.388</v>
      </c>
      <c r="I71" s="67">
        <f>IFERROR(VLOOKUP($B71,Tipologias!$A$4:$V$8,10,0),"")</f>
        <v>48</v>
      </c>
      <c r="J71" s="67">
        <f>IFERROR(VLOOKUP($B71,Tipologias!$A$4:$V$8,16,0),"")</f>
        <v>233.388</v>
      </c>
      <c r="K71" s="63" t="s">
        <v>105</v>
      </c>
      <c r="L71" s="68"/>
      <c r="M71" s="69" t="str">
        <f>IFERROR(VLOOKUP($B71,Tipologias!$A$4:$V$8,19,0),"")</f>
        <v/>
      </c>
      <c r="N71" s="69" t="str">
        <f t="shared" si="1"/>
        <v/>
      </c>
      <c r="O71" s="69"/>
      <c r="P71" s="68"/>
      <c r="Q71" s="91" t="s">
        <v>371</v>
      </c>
      <c r="R71" s="59"/>
    </row>
    <row r="72" ht="15.75" customHeight="1">
      <c r="A72" s="90" t="s">
        <v>372</v>
      </c>
      <c r="B72" s="62" t="s">
        <v>156</v>
      </c>
      <c r="C72" s="63" t="s">
        <v>52</v>
      </c>
      <c r="D72" s="63">
        <v>1.0</v>
      </c>
      <c r="E72" s="63" t="s">
        <v>57</v>
      </c>
      <c r="F72" s="66">
        <f>IFERROR(VLOOKUP($B72,Tipologias!$A$4:$V$8,5,0),"")</f>
        <v>2</v>
      </c>
      <c r="G72" s="66">
        <f>IFERROR(VLOOKUP($B72,Tipologias!$A$4:$V$8,6,0),"")</f>
        <v>2.5</v>
      </c>
      <c r="H72" s="67">
        <f>IFERROR(VLOOKUP($B72,Tipologias!$A$4:$V$8,9,0),"")</f>
        <v>154.388</v>
      </c>
      <c r="I72" s="67">
        <f>IFERROR(VLOOKUP($B72,Tipologias!$A$4:$V$8,10,0),"")</f>
        <v>48</v>
      </c>
      <c r="J72" s="67">
        <f>IFERROR(VLOOKUP($B72,Tipologias!$A$4:$V$8,16,0),"")</f>
        <v>233.388</v>
      </c>
      <c r="K72" s="63" t="s">
        <v>105</v>
      </c>
      <c r="L72" s="68"/>
      <c r="M72" s="69" t="str">
        <f>IFERROR(VLOOKUP($B72,Tipologias!$A$4:$V$8,19,0),"")</f>
        <v/>
      </c>
      <c r="N72" s="69" t="str">
        <f t="shared" si="1"/>
        <v/>
      </c>
      <c r="O72" s="69"/>
      <c r="P72" s="68"/>
      <c r="Q72" s="92" t="s">
        <v>373</v>
      </c>
      <c r="R72" s="59"/>
    </row>
    <row r="73" ht="15.75" customHeight="1">
      <c r="A73" s="90" t="s">
        <v>374</v>
      </c>
      <c r="B73" s="62" t="s">
        <v>170</v>
      </c>
      <c r="C73" s="63" t="s">
        <v>375</v>
      </c>
      <c r="D73" s="63">
        <v>1.0</v>
      </c>
      <c r="E73" s="63" t="s">
        <v>57</v>
      </c>
      <c r="F73" s="66">
        <f>IFERROR(VLOOKUP($B73,Tipologias!$A$4:$V$8,5,0),"")</f>
        <v>2</v>
      </c>
      <c r="G73" s="66">
        <f>IFERROR(VLOOKUP($B73,Tipologias!$A$4:$V$8,6,0),"")</f>
        <v>2</v>
      </c>
      <c r="H73" s="67">
        <f>IFERROR(VLOOKUP($B73,Tipologias!$A$4:$V$8,9,0),"")</f>
        <v>94.789</v>
      </c>
      <c r="I73" s="67">
        <f>IFERROR(VLOOKUP($B73,Tipologias!$A$4:$V$8,10,0),"")</f>
        <v>83.65</v>
      </c>
      <c r="J73" s="67">
        <f>IFERROR(VLOOKUP($B73,Tipologias!$A$4:$V$8,16,0),"")</f>
        <v>195.564</v>
      </c>
      <c r="K73" s="63" t="s">
        <v>105</v>
      </c>
      <c r="L73" s="68"/>
      <c r="M73" s="69" t="str">
        <f>IFERROR(VLOOKUP($B73,Tipologias!$A$4:$V$8,19,0),"")</f>
        <v/>
      </c>
      <c r="N73" s="69" t="str">
        <f t="shared" si="1"/>
        <v/>
      </c>
      <c r="O73" s="69"/>
      <c r="P73" s="68"/>
      <c r="Q73" s="91" t="s">
        <v>376</v>
      </c>
    </row>
    <row r="74" ht="15.75" customHeight="1">
      <c r="A74" s="90" t="s">
        <v>377</v>
      </c>
      <c r="B74" s="62" t="s">
        <v>170</v>
      </c>
      <c r="C74" s="63" t="s">
        <v>375</v>
      </c>
      <c r="D74" s="63">
        <v>1.0</v>
      </c>
      <c r="E74" s="63" t="s">
        <v>57</v>
      </c>
      <c r="F74" s="66">
        <f>IFERROR(VLOOKUP($B74,Tipologias!$A$4:$V$8,5,0),"")</f>
        <v>2</v>
      </c>
      <c r="G74" s="66">
        <f>IFERROR(VLOOKUP($B74,Tipologias!$A$4:$V$8,6,0),"")</f>
        <v>2</v>
      </c>
      <c r="H74" s="67">
        <f>IFERROR(VLOOKUP($B74,Tipologias!$A$4:$V$8,9,0),"")</f>
        <v>94.789</v>
      </c>
      <c r="I74" s="67">
        <f>IFERROR(VLOOKUP($B74,Tipologias!$A$4:$V$8,10,0),"")</f>
        <v>83.65</v>
      </c>
      <c r="J74" s="67">
        <f>IFERROR(VLOOKUP($B74,Tipologias!$A$4:$V$8,16,0),"")</f>
        <v>195.564</v>
      </c>
      <c r="K74" s="63" t="s">
        <v>105</v>
      </c>
      <c r="L74" s="68"/>
      <c r="M74" s="69" t="str">
        <f>IFERROR(VLOOKUP($B74,Tipologias!$A$4:$V$8,19,0),"")</f>
        <v/>
      </c>
      <c r="N74" s="69" t="str">
        <f t="shared" si="1"/>
        <v/>
      </c>
      <c r="O74" s="69"/>
      <c r="P74" s="68"/>
      <c r="Q74" s="91" t="s">
        <v>378</v>
      </c>
    </row>
    <row r="75" ht="15.75" customHeight="1">
      <c r="A75" s="90" t="s">
        <v>379</v>
      </c>
      <c r="B75" s="62" t="s">
        <v>170</v>
      </c>
      <c r="C75" s="63" t="s">
        <v>375</v>
      </c>
      <c r="D75" s="63">
        <v>1.0</v>
      </c>
      <c r="E75" s="63" t="s">
        <v>57</v>
      </c>
      <c r="F75" s="66">
        <f>IFERROR(VLOOKUP($B75,Tipologias!$A$4:$V$8,5,0),"")</f>
        <v>2</v>
      </c>
      <c r="G75" s="66">
        <f>IFERROR(VLOOKUP($B75,Tipologias!$A$4:$V$8,6,0),"")</f>
        <v>2</v>
      </c>
      <c r="H75" s="67">
        <f>IFERROR(VLOOKUP($B75,Tipologias!$A$4:$V$8,9,0),"")</f>
        <v>94.789</v>
      </c>
      <c r="I75" s="67">
        <f>IFERROR(VLOOKUP($B75,Tipologias!$A$4:$V$8,10,0),"")</f>
        <v>83.65</v>
      </c>
      <c r="J75" s="67">
        <f>IFERROR(VLOOKUP($B75,Tipologias!$A$4:$V$8,16,0),"")</f>
        <v>195.564</v>
      </c>
      <c r="K75" s="63" t="s">
        <v>105</v>
      </c>
      <c r="L75" s="68"/>
      <c r="M75" s="69" t="str">
        <f>IFERROR(VLOOKUP($B75,Tipologias!$A$4:$V$8,19,0),"")</f>
        <v/>
      </c>
      <c r="N75" s="69" t="str">
        <f t="shared" si="1"/>
        <v/>
      </c>
      <c r="O75" s="69"/>
      <c r="P75" s="68"/>
      <c r="Q75" s="91" t="s">
        <v>380</v>
      </c>
    </row>
    <row r="76" ht="15.75" customHeight="1">
      <c r="A76" s="90" t="s">
        <v>381</v>
      </c>
      <c r="B76" s="62" t="s">
        <v>170</v>
      </c>
      <c r="C76" s="63" t="s">
        <v>375</v>
      </c>
      <c r="D76" s="63">
        <v>1.0</v>
      </c>
      <c r="E76" s="63" t="s">
        <v>57</v>
      </c>
      <c r="F76" s="66">
        <f>IFERROR(VLOOKUP($B76,Tipologias!$A$4:$V$8,5,0),"")</f>
        <v>2</v>
      </c>
      <c r="G76" s="66">
        <f>IFERROR(VLOOKUP($B76,Tipologias!$A$4:$V$8,6,0),"")</f>
        <v>2</v>
      </c>
      <c r="H76" s="67">
        <f>IFERROR(VLOOKUP($B76,Tipologias!$A$4:$V$8,9,0),"")</f>
        <v>94.789</v>
      </c>
      <c r="I76" s="67">
        <f>IFERROR(VLOOKUP($B76,Tipologias!$A$4:$V$8,10,0),"")</f>
        <v>83.65</v>
      </c>
      <c r="J76" s="67">
        <f>IFERROR(VLOOKUP($B76,Tipologias!$A$4:$V$8,16,0),"")</f>
        <v>195.564</v>
      </c>
      <c r="K76" s="63" t="s">
        <v>105</v>
      </c>
      <c r="L76" s="68"/>
      <c r="M76" s="69" t="str">
        <f>IFERROR(VLOOKUP($B76,Tipologias!$A$4:$V$8,19,0),"")</f>
        <v/>
      </c>
      <c r="N76" s="69" t="str">
        <f t="shared" si="1"/>
        <v/>
      </c>
      <c r="O76" s="69"/>
      <c r="P76" s="68"/>
      <c r="Q76" s="91" t="s">
        <v>382</v>
      </c>
    </row>
    <row r="77" ht="15.75" customHeight="1">
      <c r="A77" s="90" t="s">
        <v>383</v>
      </c>
      <c r="B77" s="62" t="s">
        <v>170</v>
      </c>
      <c r="C77" s="63" t="s">
        <v>375</v>
      </c>
      <c r="D77" s="63">
        <v>1.0</v>
      </c>
      <c r="E77" s="63" t="s">
        <v>57</v>
      </c>
      <c r="F77" s="66">
        <f>IFERROR(VLOOKUP($B77,Tipologias!$A$4:$V$8,5,0),"")</f>
        <v>2</v>
      </c>
      <c r="G77" s="66">
        <f>IFERROR(VLOOKUP($B77,Tipologias!$A$4:$V$8,6,0),"")</f>
        <v>2</v>
      </c>
      <c r="H77" s="67">
        <f>IFERROR(VLOOKUP($B77,Tipologias!$A$4:$V$8,9,0),"")</f>
        <v>94.789</v>
      </c>
      <c r="I77" s="67">
        <f>IFERROR(VLOOKUP($B77,Tipologias!$A$4:$V$8,10,0),"")</f>
        <v>83.65</v>
      </c>
      <c r="J77" s="67">
        <f>IFERROR(VLOOKUP($B77,Tipologias!$A$4:$V$8,16,0),"")</f>
        <v>195.564</v>
      </c>
      <c r="K77" s="63" t="s">
        <v>105</v>
      </c>
      <c r="L77" s="68"/>
      <c r="M77" s="69" t="str">
        <f>IFERROR(VLOOKUP($B77,Tipologias!$A$4:$V$8,19,0),"")</f>
        <v/>
      </c>
      <c r="N77" s="69" t="str">
        <f t="shared" si="1"/>
        <v/>
      </c>
      <c r="O77" s="69"/>
      <c r="P77" s="68"/>
      <c r="Q77" s="91" t="s">
        <v>384</v>
      </c>
    </row>
    <row r="78" ht="15.75" customHeight="1">
      <c r="A78" s="90" t="s">
        <v>385</v>
      </c>
      <c r="B78" s="62" t="s">
        <v>170</v>
      </c>
      <c r="C78" s="63" t="s">
        <v>375</v>
      </c>
      <c r="D78" s="63">
        <v>1.0</v>
      </c>
      <c r="E78" s="63" t="s">
        <v>57</v>
      </c>
      <c r="F78" s="66">
        <f>IFERROR(VLOOKUP($B78,Tipologias!$A$4:$V$8,5,0),"")</f>
        <v>2</v>
      </c>
      <c r="G78" s="66">
        <f>IFERROR(VLOOKUP($B78,Tipologias!$A$4:$V$8,6,0),"")</f>
        <v>2</v>
      </c>
      <c r="H78" s="67">
        <f>IFERROR(VLOOKUP($B78,Tipologias!$A$4:$V$8,9,0),"")</f>
        <v>94.789</v>
      </c>
      <c r="I78" s="67">
        <f>IFERROR(VLOOKUP($B78,Tipologias!$A$4:$V$8,10,0),"")</f>
        <v>83.65</v>
      </c>
      <c r="J78" s="67">
        <f>IFERROR(VLOOKUP($B78,Tipologias!$A$4:$V$8,16,0),"")</f>
        <v>195.564</v>
      </c>
      <c r="K78" s="63" t="s">
        <v>105</v>
      </c>
      <c r="L78" s="68"/>
      <c r="M78" s="69" t="str">
        <f>IFERROR(VLOOKUP($B78,Tipologias!$A$4:$V$8,19,0),"")</f>
        <v/>
      </c>
      <c r="N78" s="69" t="str">
        <f t="shared" si="1"/>
        <v/>
      </c>
      <c r="O78" s="69"/>
      <c r="P78" s="68"/>
      <c r="Q78" s="92" t="s">
        <v>386</v>
      </c>
    </row>
    <row r="79" ht="15.75" customHeight="1">
      <c r="A79" s="90" t="s">
        <v>387</v>
      </c>
      <c r="B79" s="62" t="s">
        <v>170</v>
      </c>
      <c r="C79" s="63" t="s">
        <v>375</v>
      </c>
      <c r="D79" s="63">
        <v>1.0</v>
      </c>
      <c r="E79" s="63" t="s">
        <v>57</v>
      </c>
      <c r="F79" s="66">
        <f>IFERROR(VLOOKUP($B79,Tipologias!$A$4:$V$8,5,0),"")</f>
        <v>2</v>
      </c>
      <c r="G79" s="66">
        <f>IFERROR(VLOOKUP($B79,Tipologias!$A$4:$V$8,6,0),"")</f>
        <v>2</v>
      </c>
      <c r="H79" s="67">
        <f>IFERROR(VLOOKUP($B79,Tipologias!$A$4:$V$8,9,0),"")</f>
        <v>94.789</v>
      </c>
      <c r="I79" s="67">
        <f>IFERROR(VLOOKUP($B79,Tipologias!$A$4:$V$8,10,0),"")</f>
        <v>83.65</v>
      </c>
      <c r="J79" s="67">
        <f>IFERROR(VLOOKUP($B79,Tipologias!$A$4:$V$8,16,0),"")</f>
        <v>195.564</v>
      </c>
      <c r="K79" s="63" t="s">
        <v>105</v>
      </c>
      <c r="L79" s="68"/>
      <c r="M79" s="69" t="str">
        <f>IFERROR(VLOOKUP($B79,Tipologias!$A$4:$V$8,19,0),"")</f>
        <v/>
      </c>
      <c r="N79" s="69" t="str">
        <f t="shared" si="1"/>
        <v/>
      </c>
      <c r="O79" s="69"/>
      <c r="P79" s="68"/>
      <c r="Q79" s="91" t="s">
        <v>388</v>
      </c>
    </row>
    <row r="80" ht="15.75" customHeight="1">
      <c r="A80" s="90" t="s">
        <v>389</v>
      </c>
      <c r="B80" s="62" t="s">
        <v>170</v>
      </c>
      <c r="C80" s="63" t="s">
        <v>375</v>
      </c>
      <c r="D80" s="63">
        <v>1.0</v>
      </c>
      <c r="E80" s="63" t="s">
        <v>57</v>
      </c>
      <c r="F80" s="66">
        <f>IFERROR(VLOOKUP($B80,Tipologias!$A$4:$V$8,5,0),"")</f>
        <v>2</v>
      </c>
      <c r="G80" s="66">
        <f>IFERROR(VLOOKUP($B80,Tipologias!$A$4:$V$8,6,0),"")</f>
        <v>2</v>
      </c>
      <c r="H80" s="67">
        <f>IFERROR(VLOOKUP($B80,Tipologias!$A$4:$V$8,9,0),"")</f>
        <v>94.789</v>
      </c>
      <c r="I80" s="67">
        <f>IFERROR(VLOOKUP($B80,Tipologias!$A$4:$V$8,10,0),"")</f>
        <v>83.65</v>
      </c>
      <c r="J80" s="67">
        <f>IFERROR(VLOOKUP($B80,Tipologias!$A$4:$V$8,16,0),"")</f>
        <v>195.564</v>
      </c>
      <c r="K80" s="63" t="s">
        <v>105</v>
      </c>
      <c r="L80" s="68"/>
      <c r="M80" s="69" t="str">
        <f>IFERROR(VLOOKUP($B80,Tipologias!$A$4:$V$8,19,0),"")</f>
        <v/>
      </c>
      <c r="N80" s="69" t="str">
        <f t="shared" si="1"/>
        <v/>
      </c>
      <c r="O80" s="69"/>
      <c r="P80" s="68"/>
      <c r="Q80" s="91" t="s">
        <v>390</v>
      </c>
    </row>
    <row r="81" ht="15.75" customHeight="1">
      <c r="A81" s="90" t="s">
        <v>391</v>
      </c>
      <c r="B81" s="62" t="s">
        <v>170</v>
      </c>
      <c r="C81" s="63" t="s">
        <v>375</v>
      </c>
      <c r="D81" s="63">
        <v>1.0</v>
      </c>
      <c r="E81" s="63" t="s">
        <v>57</v>
      </c>
      <c r="F81" s="66">
        <f>IFERROR(VLOOKUP($B81,Tipologias!$A$4:$V$8,5,0),"")</f>
        <v>2</v>
      </c>
      <c r="G81" s="66">
        <f>IFERROR(VLOOKUP($B81,Tipologias!$A$4:$V$8,6,0),"")</f>
        <v>2</v>
      </c>
      <c r="H81" s="67">
        <f>IFERROR(VLOOKUP($B81,Tipologias!$A$4:$V$8,9,0),"")</f>
        <v>94.789</v>
      </c>
      <c r="I81" s="67">
        <f>IFERROR(VLOOKUP($B81,Tipologias!$A$4:$V$8,10,0),"")</f>
        <v>83.65</v>
      </c>
      <c r="J81" s="67">
        <f>IFERROR(VLOOKUP($B81,Tipologias!$A$4:$V$8,16,0),"")</f>
        <v>195.564</v>
      </c>
      <c r="K81" s="63" t="s">
        <v>105</v>
      </c>
      <c r="L81" s="68"/>
      <c r="M81" s="69" t="str">
        <f>IFERROR(VLOOKUP($B81,Tipologias!$A$4:$V$8,19,0),"")</f>
        <v/>
      </c>
      <c r="N81" s="69" t="str">
        <f t="shared" si="1"/>
        <v/>
      </c>
      <c r="O81" s="69"/>
      <c r="P81" s="68"/>
      <c r="Q81" s="92" t="s">
        <v>392</v>
      </c>
    </row>
    <row r="82" ht="15.75" customHeight="1">
      <c r="A82" s="90" t="s">
        <v>393</v>
      </c>
      <c r="B82" s="62" t="s">
        <v>170</v>
      </c>
      <c r="C82" s="63" t="s">
        <v>375</v>
      </c>
      <c r="D82" s="63">
        <v>1.0</v>
      </c>
      <c r="E82" s="63" t="s">
        <v>57</v>
      </c>
      <c r="F82" s="66">
        <f>IFERROR(VLOOKUP($B82,Tipologias!$A$4:$V$8,5,0),"")</f>
        <v>2</v>
      </c>
      <c r="G82" s="66">
        <f>IFERROR(VLOOKUP($B82,Tipologias!$A$4:$V$8,6,0),"")</f>
        <v>2</v>
      </c>
      <c r="H82" s="67">
        <f>IFERROR(VLOOKUP($B82,Tipologias!$A$4:$V$8,9,0),"")</f>
        <v>94.789</v>
      </c>
      <c r="I82" s="67">
        <f>IFERROR(VLOOKUP($B82,Tipologias!$A$4:$V$8,10,0),"")</f>
        <v>83.65</v>
      </c>
      <c r="J82" s="67">
        <f>IFERROR(VLOOKUP($B82,Tipologias!$A$4:$V$8,16,0),"")</f>
        <v>195.564</v>
      </c>
      <c r="K82" s="63" t="s">
        <v>105</v>
      </c>
      <c r="L82" s="68"/>
      <c r="M82" s="69" t="str">
        <f>IFERROR(VLOOKUP($B82,Tipologias!$A$4:$V$8,19,0),"")</f>
        <v/>
      </c>
      <c r="N82" s="69" t="str">
        <f t="shared" si="1"/>
        <v/>
      </c>
      <c r="O82" s="69"/>
      <c r="P82" s="68"/>
      <c r="Q82" s="92" t="s">
        <v>394</v>
      </c>
    </row>
    <row r="83" ht="15.75" customHeight="1">
      <c r="A83" s="90" t="s">
        <v>395</v>
      </c>
      <c r="B83" s="62" t="s">
        <v>170</v>
      </c>
      <c r="C83" s="63" t="s">
        <v>375</v>
      </c>
      <c r="D83" s="63">
        <v>1.0</v>
      </c>
      <c r="E83" s="63" t="s">
        <v>57</v>
      </c>
      <c r="F83" s="66">
        <f>IFERROR(VLOOKUP($B83,Tipologias!$A$4:$V$8,5,0),"")</f>
        <v>2</v>
      </c>
      <c r="G83" s="66">
        <f>IFERROR(VLOOKUP($B83,Tipologias!$A$4:$V$8,6,0),"")</f>
        <v>2</v>
      </c>
      <c r="H83" s="67">
        <f>IFERROR(VLOOKUP($B83,Tipologias!$A$4:$V$8,9,0),"")</f>
        <v>94.789</v>
      </c>
      <c r="I83" s="67">
        <f>IFERROR(VLOOKUP($B83,Tipologias!$A$4:$V$8,10,0),"")</f>
        <v>83.65</v>
      </c>
      <c r="J83" s="67">
        <f>IFERROR(VLOOKUP($B83,Tipologias!$A$4:$V$8,16,0),"")</f>
        <v>195.564</v>
      </c>
      <c r="K83" s="63" t="s">
        <v>105</v>
      </c>
      <c r="L83" s="68"/>
      <c r="M83" s="69" t="str">
        <f>IFERROR(VLOOKUP($B83,Tipologias!$A$4:$V$8,19,0),"")</f>
        <v/>
      </c>
      <c r="N83" s="69" t="str">
        <f t="shared" si="1"/>
        <v/>
      </c>
      <c r="O83" s="69"/>
      <c r="P83" s="68"/>
      <c r="Q83" s="91" t="s">
        <v>396</v>
      </c>
    </row>
    <row r="84" ht="15.75" customHeight="1">
      <c r="A84" s="90" t="s">
        <v>397</v>
      </c>
      <c r="B84" s="62" t="s">
        <v>170</v>
      </c>
      <c r="C84" s="63" t="s">
        <v>375</v>
      </c>
      <c r="D84" s="63">
        <v>1.0</v>
      </c>
      <c r="E84" s="63" t="s">
        <v>57</v>
      </c>
      <c r="F84" s="66">
        <f>IFERROR(VLOOKUP($B84,Tipologias!$A$4:$V$8,5,0),"")</f>
        <v>2</v>
      </c>
      <c r="G84" s="66">
        <f>IFERROR(VLOOKUP($B84,Tipologias!$A$4:$V$8,6,0),"")</f>
        <v>2</v>
      </c>
      <c r="H84" s="67">
        <f>IFERROR(VLOOKUP($B84,Tipologias!$A$4:$V$8,9,0),"")</f>
        <v>94.789</v>
      </c>
      <c r="I84" s="67">
        <f>IFERROR(VLOOKUP($B84,Tipologias!$A$4:$V$8,10,0),"")</f>
        <v>83.65</v>
      </c>
      <c r="J84" s="67">
        <f>IFERROR(VLOOKUP($B84,Tipologias!$A$4:$V$8,16,0),"")</f>
        <v>195.564</v>
      </c>
      <c r="K84" s="63" t="s">
        <v>105</v>
      </c>
      <c r="L84" s="68"/>
      <c r="M84" s="69" t="str">
        <f>IFERROR(VLOOKUP($B84,Tipologias!$A$4:$V$8,19,0),"")</f>
        <v/>
      </c>
      <c r="N84" s="69" t="str">
        <f t="shared" si="1"/>
        <v/>
      </c>
      <c r="O84" s="69"/>
      <c r="P84" s="68"/>
      <c r="Q84" s="91" t="s">
        <v>398</v>
      </c>
    </row>
    <row r="85" ht="15.75" customHeight="1">
      <c r="A85" s="90" t="s">
        <v>399</v>
      </c>
      <c r="B85" s="62" t="s">
        <v>170</v>
      </c>
      <c r="C85" s="63" t="s">
        <v>375</v>
      </c>
      <c r="D85" s="63">
        <v>1.0</v>
      </c>
      <c r="E85" s="63" t="s">
        <v>57</v>
      </c>
      <c r="F85" s="66">
        <f>IFERROR(VLOOKUP($B85,Tipologias!$A$4:$V$8,5,0),"")</f>
        <v>2</v>
      </c>
      <c r="G85" s="66">
        <f>IFERROR(VLOOKUP($B85,Tipologias!$A$4:$V$8,6,0),"")</f>
        <v>2</v>
      </c>
      <c r="H85" s="67">
        <f>IFERROR(VLOOKUP($B85,Tipologias!$A$4:$V$8,9,0),"")</f>
        <v>94.789</v>
      </c>
      <c r="I85" s="67">
        <f>IFERROR(VLOOKUP($B85,Tipologias!$A$4:$V$8,10,0),"")</f>
        <v>83.65</v>
      </c>
      <c r="J85" s="67">
        <f>IFERROR(VLOOKUP($B85,Tipologias!$A$4:$V$8,16,0),"")</f>
        <v>195.564</v>
      </c>
      <c r="K85" s="63" t="s">
        <v>105</v>
      </c>
      <c r="L85" s="68"/>
      <c r="M85" s="69" t="str">
        <f>IFERROR(VLOOKUP($B85,Tipologias!$A$4:$V$8,19,0),"")</f>
        <v/>
      </c>
      <c r="N85" s="69" t="str">
        <f t="shared" si="1"/>
        <v/>
      </c>
      <c r="O85" s="69"/>
      <c r="P85" s="68"/>
      <c r="Q85" s="91" t="s">
        <v>400</v>
      </c>
    </row>
    <row r="86" ht="15.75" customHeight="1">
      <c r="A86" s="90" t="s">
        <v>401</v>
      </c>
      <c r="B86" s="62" t="s">
        <v>170</v>
      </c>
      <c r="C86" s="63" t="s">
        <v>375</v>
      </c>
      <c r="D86" s="63">
        <v>1.0</v>
      </c>
      <c r="E86" s="63" t="s">
        <v>57</v>
      </c>
      <c r="F86" s="66">
        <f>IFERROR(VLOOKUP($B86,Tipologias!$A$4:$V$8,5,0),"")</f>
        <v>2</v>
      </c>
      <c r="G86" s="66">
        <f>IFERROR(VLOOKUP($B86,Tipologias!$A$4:$V$8,6,0),"")</f>
        <v>2</v>
      </c>
      <c r="H86" s="67">
        <f>IFERROR(VLOOKUP($B86,Tipologias!$A$4:$V$8,9,0),"")</f>
        <v>94.789</v>
      </c>
      <c r="I86" s="67">
        <f>IFERROR(VLOOKUP($B86,Tipologias!$A$4:$V$8,10,0),"")</f>
        <v>83.65</v>
      </c>
      <c r="J86" s="67">
        <f>IFERROR(VLOOKUP($B86,Tipologias!$A$4:$V$8,16,0),"")</f>
        <v>195.564</v>
      </c>
      <c r="K86" s="63" t="s">
        <v>105</v>
      </c>
      <c r="L86" s="68"/>
      <c r="M86" s="69" t="str">
        <f>IFERROR(VLOOKUP($B86,Tipologias!$A$4:$V$8,19,0),"")</f>
        <v/>
      </c>
      <c r="N86" s="69" t="str">
        <f t="shared" si="1"/>
        <v/>
      </c>
      <c r="O86" s="69"/>
      <c r="P86" s="68"/>
      <c r="Q86" s="91" t="s">
        <v>402</v>
      </c>
    </row>
    <row r="87" ht="15.75" customHeight="1">
      <c r="A87" s="90" t="s">
        <v>403</v>
      </c>
      <c r="B87" s="62" t="s">
        <v>170</v>
      </c>
      <c r="C87" s="63" t="s">
        <v>375</v>
      </c>
      <c r="D87" s="63">
        <v>1.0</v>
      </c>
      <c r="E87" s="63" t="s">
        <v>57</v>
      </c>
      <c r="F87" s="66">
        <f>IFERROR(VLOOKUP($B87,Tipologias!$A$4:$V$8,5,0),"")</f>
        <v>2</v>
      </c>
      <c r="G87" s="66">
        <f>IFERROR(VLOOKUP($B87,Tipologias!$A$4:$V$8,6,0),"")</f>
        <v>2</v>
      </c>
      <c r="H87" s="67">
        <f>IFERROR(VLOOKUP($B87,Tipologias!$A$4:$V$8,9,0),"")</f>
        <v>94.789</v>
      </c>
      <c r="I87" s="67">
        <f>IFERROR(VLOOKUP($B87,Tipologias!$A$4:$V$8,10,0),"")</f>
        <v>83.65</v>
      </c>
      <c r="J87" s="67">
        <f>IFERROR(VLOOKUP($B87,Tipologias!$A$4:$V$8,16,0),"")</f>
        <v>195.564</v>
      </c>
      <c r="K87" s="63" t="s">
        <v>105</v>
      </c>
      <c r="L87" s="68"/>
      <c r="M87" s="69" t="str">
        <f>IFERROR(VLOOKUP($B87,Tipologias!$A$4:$V$8,19,0),"")</f>
        <v/>
      </c>
      <c r="N87" s="69" t="str">
        <f t="shared" si="1"/>
        <v/>
      </c>
      <c r="O87" s="69"/>
      <c r="P87" s="68"/>
      <c r="Q87" s="92" t="s">
        <v>404</v>
      </c>
    </row>
    <row r="88" ht="15.75" customHeight="1">
      <c r="A88" s="90" t="s">
        <v>405</v>
      </c>
      <c r="B88" s="62" t="s">
        <v>170</v>
      </c>
      <c r="C88" s="63" t="s">
        <v>375</v>
      </c>
      <c r="D88" s="63">
        <v>1.0</v>
      </c>
      <c r="E88" s="63" t="s">
        <v>57</v>
      </c>
      <c r="F88" s="66">
        <f>IFERROR(VLOOKUP($B88,Tipologias!$A$4:$V$8,5,0),"")</f>
        <v>2</v>
      </c>
      <c r="G88" s="66">
        <f>IFERROR(VLOOKUP($B88,Tipologias!$A$4:$V$8,6,0),"")</f>
        <v>2</v>
      </c>
      <c r="H88" s="67">
        <f>IFERROR(VLOOKUP($B88,Tipologias!$A$4:$V$8,9,0),"")</f>
        <v>94.789</v>
      </c>
      <c r="I88" s="67">
        <f>IFERROR(VLOOKUP($B88,Tipologias!$A$4:$V$8,10,0),"")</f>
        <v>83.65</v>
      </c>
      <c r="J88" s="67">
        <f>IFERROR(VLOOKUP($B88,Tipologias!$A$4:$V$8,16,0),"")</f>
        <v>195.564</v>
      </c>
      <c r="K88" s="63" t="s">
        <v>105</v>
      </c>
      <c r="L88" s="68"/>
      <c r="M88" s="69" t="str">
        <f>IFERROR(VLOOKUP($B88,Tipologias!$A$4:$V$8,19,0),"")</f>
        <v/>
      </c>
      <c r="N88" s="69" t="str">
        <f t="shared" si="1"/>
        <v/>
      </c>
      <c r="O88" s="69"/>
      <c r="P88" s="68"/>
      <c r="Q88" s="92" t="s">
        <v>406</v>
      </c>
    </row>
    <row r="89" ht="15.75" customHeight="1">
      <c r="A89" s="90" t="s">
        <v>407</v>
      </c>
      <c r="B89" s="62" t="s">
        <v>170</v>
      </c>
      <c r="C89" s="63" t="s">
        <v>375</v>
      </c>
      <c r="D89" s="63">
        <v>1.0</v>
      </c>
      <c r="E89" s="63" t="s">
        <v>57</v>
      </c>
      <c r="F89" s="66">
        <f>IFERROR(VLOOKUP($B89,Tipologias!$A$4:$V$8,5,0),"")</f>
        <v>2</v>
      </c>
      <c r="G89" s="66">
        <f>IFERROR(VLOOKUP($B89,Tipologias!$A$4:$V$8,6,0),"")</f>
        <v>2</v>
      </c>
      <c r="H89" s="67">
        <f>IFERROR(VLOOKUP($B89,Tipologias!$A$4:$V$8,9,0),"")</f>
        <v>94.789</v>
      </c>
      <c r="I89" s="67">
        <f>IFERROR(VLOOKUP($B89,Tipologias!$A$4:$V$8,10,0),"")</f>
        <v>83.65</v>
      </c>
      <c r="J89" s="67">
        <f>IFERROR(VLOOKUP($B89,Tipologias!$A$4:$V$8,16,0),"")</f>
        <v>195.564</v>
      </c>
      <c r="K89" s="63" t="s">
        <v>105</v>
      </c>
      <c r="L89" s="68"/>
      <c r="M89" s="69" t="str">
        <f>IFERROR(VLOOKUP($B89,Tipologias!$A$4:$V$8,19,0),"")</f>
        <v/>
      </c>
      <c r="N89" s="69" t="str">
        <f t="shared" si="1"/>
        <v/>
      </c>
      <c r="O89" s="69"/>
      <c r="P89" s="68"/>
      <c r="Q89" s="91" t="s">
        <v>408</v>
      </c>
    </row>
    <row r="90" ht="15.75" customHeight="1">
      <c r="A90" s="90" t="s">
        <v>409</v>
      </c>
      <c r="B90" s="62" t="s">
        <v>170</v>
      </c>
      <c r="C90" s="63" t="s">
        <v>375</v>
      </c>
      <c r="D90" s="63">
        <v>1.0</v>
      </c>
      <c r="E90" s="63" t="s">
        <v>57</v>
      </c>
      <c r="F90" s="66">
        <f>IFERROR(VLOOKUP($B90,Tipologias!$A$4:$V$8,5,0),"")</f>
        <v>2</v>
      </c>
      <c r="G90" s="66">
        <f>IFERROR(VLOOKUP($B90,Tipologias!$A$4:$V$8,6,0),"")</f>
        <v>2</v>
      </c>
      <c r="H90" s="67">
        <f>IFERROR(VLOOKUP($B90,Tipologias!$A$4:$V$8,9,0),"")</f>
        <v>94.789</v>
      </c>
      <c r="I90" s="67">
        <f>IFERROR(VLOOKUP($B90,Tipologias!$A$4:$V$8,10,0),"")</f>
        <v>83.65</v>
      </c>
      <c r="J90" s="67">
        <f>IFERROR(VLOOKUP($B90,Tipologias!$A$4:$V$8,16,0),"")</f>
        <v>195.564</v>
      </c>
      <c r="K90" s="63" t="s">
        <v>105</v>
      </c>
      <c r="L90" s="68"/>
      <c r="M90" s="69" t="str">
        <f>IFERROR(VLOOKUP($B90,Tipologias!$A$4:$V$8,19,0),"")</f>
        <v/>
      </c>
      <c r="N90" s="69" t="str">
        <f t="shared" si="1"/>
        <v/>
      </c>
      <c r="O90" s="69"/>
      <c r="P90" s="68"/>
      <c r="Q90" s="91" t="s">
        <v>410</v>
      </c>
    </row>
    <row r="91" ht="15.75" customHeight="1">
      <c r="A91" s="90" t="s">
        <v>411</v>
      </c>
      <c r="B91" s="62" t="s">
        <v>170</v>
      </c>
      <c r="C91" s="63" t="s">
        <v>375</v>
      </c>
      <c r="D91" s="63">
        <v>1.0</v>
      </c>
      <c r="E91" s="63" t="s">
        <v>57</v>
      </c>
      <c r="F91" s="66">
        <f>IFERROR(VLOOKUP($B91,Tipologias!$A$4:$V$8,5,0),"")</f>
        <v>2</v>
      </c>
      <c r="G91" s="66">
        <f>IFERROR(VLOOKUP($B91,Tipologias!$A$4:$V$8,6,0),"")</f>
        <v>2</v>
      </c>
      <c r="H91" s="67">
        <f>IFERROR(VLOOKUP($B91,Tipologias!$A$4:$V$8,9,0),"")</f>
        <v>94.789</v>
      </c>
      <c r="I91" s="67">
        <f>IFERROR(VLOOKUP($B91,Tipologias!$A$4:$V$8,10,0),"")</f>
        <v>83.65</v>
      </c>
      <c r="J91" s="67">
        <f>IFERROR(VLOOKUP($B91,Tipologias!$A$4:$V$8,16,0),"")</f>
        <v>195.564</v>
      </c>
      <c r="K91" s="63" t="s">
        <v>105</v>
      </c>
      <c r="L91" s="68"/>
      <c r="M91" s="69" t="str">
        <f>IFERROR(VLOOKUP($B91,Tipologias!$A$4:$V$8,19,0),"")</f>
        <v/>
      </c>
      <c r="N91" s="69" t="str">
        <f t="shared" si="1"/>
        <v/>
      </c>
      <c r="O91" s="69"/>
      <c r="P91" s="68"/>
      <c r="Q91" s="91" t="s">
        <v>412</v>
      </c>
    </row>
    <row r="92" ht="15.75" customHeight="1">
      <c r="A92" s="90" t="s">
        <v>413</v>
      </c>
      <c r="B92" s="62" t="s">
        <v>170</v>
      </c>
      <c r="C92" s="63" t="s">
        <v>375</v>
      </c>
      <c r="D92" s="63">
        <v>1.0</v>
      </c>
      <c r="E92" s="63" t="s">
        <v>57</v>
      </c>
      <c r="F92" s="66">
        <f>IFERROR(VLOOKUP($B92,Tipologias!$A$4:$V$8,5,0),"")</f>
        <v>2</v>
      </c>
      <c r="G92" s="66">
        <f>IFERROR(VLOOKUP($B92,Tipologias!$A$4:$V$8,6,0),"")</f>
        <v>2</v>
      </c>
      <c r="H92" s="67">
        <f>IFERROR(VLOOKUP($B92,Tipologias!$A$4:$V$8,9,0),"")</f>
        <v>94.789</v>
      </c>
      <c r="I92" s="67">
        <f>IFERROR(VLOOKUP($B92,Tipologias!$A$4:$V$8,10,0),"")</f>
        <v>83.65</v>
      </c>
      <c r="J92" s="67">
        <f>IFERROR(VLOOKUP($B92,Tipologias!$A$4:$V$8,16,0),"")</f>
        <v>195.564</v>
      </c>
      <c r="K92" s="63" t="s">
        <v>105</v>
      </c>
      <c r="L92" s="68"/>
      <c r="M92" s="69" t="str">
        <f>IFERROR(VLOOKUP($B92,Tipologias!$A$4:$V$8,19,0),"")</f>
        <v/>
      </c>
      <c r="N92" s="69" t="str">
        <f t="shared" si="1"/>
        <v/>
      </c>
      <c r="O92" s="69"/>
      <c r="P92" s="68"/>
      <c r="Q92" s="91" t="s">
        <v>414</v>
      </c>
    </row>
    <row r="93" ht="15.75" customHeight="1">
      <c r="A93" s="90" t="s">
        <v>415</v>
      </c>
      <c r="B93" s="62" t="s">
        <v>170</v>
      </c>
      <c r="C93" s="63" t="s">
        <v>375</v>
      </c>
      <c r="D93" s="63">
        <v>1.0</v>
      </c>
      <c r="E93" s="63" t="s">
        <v>57</v>
      </c>
      <c r="F93" s="66">
        <f>IFERROR(VLOOKUP($B93,Tipologias!$A$4:$V$8,5,0),"")</f>
        <v>2</v>
      </c>
      <c r="G93" s="66">
        <f>IFERROR(VLOOKUP($B93,Tipologias!$A$4:$V$8,6,0),"")</f>
        <v>2</v>
      </c>
      <c r="H93" s="67">
        <f>IFERROR(VLOOKUP($B93,Tipologias!$A$4:$V$8,9,0),"")</f>
        <v>94.789</v>
      </c>
      <c r="I93" s="67">
        <f>IFERROR(VLOOKUP($B93,Tipologias!$A$4:$V$8,10,0),"")</f>
        <v>83.65</v>
      </c>
      <c r="J93" s="67">
        <f>IFERROR(VLOOKUP($B93,Tipologias!$A$4:$V$8,16,0),"")</f>
        <v>195.564</v>
      </c>
      <c r="K93" s="63" t="s">
        <v>105</v>
      </c>
      <c r="L93" s="68"/>
      <c r="M93" s="69" t="str">
        <f>IFERROR(VLOOKUP($B93,Tipologias!$A$4:$V$8,19,0),"")</f>
        <v/>
      </c>
      <c r="N93" s="69" t="str">
        <f t="shared" si="1"/>
        <v/>
      </c>
      <c r="O93" s="69"/>
      <c r="P93" s="68"/>
      <c r="Q93" s="91" t="s">
        <v>416</v>
      </c>
    </row>
    <row r="94" ht="15.75" customHeight="1">
      <c r="A94" s="90" t="s">
        <v>417</v>
      </c>
      <c r="B94" s="62" t="s">
        <v>170</v>
      </c>
      <c r="C94" s="63" t="s">
        <v>375</v>
      </c>
      <c r="D94" s="63">
        <v>1.0</v>
      </c>
      <c r="E94" s="63" t="s">
        <v>57</v>
      </c>
      <c r="F94" s="66">
        <f>IFERROR(VLOOKUP($B94,Tipologias!$A$4:$V$8,5,0),"")</f>
        <v>2</v>
      </c>
      <c r="G94" s="66">
        <f>IFERROR(VLOOKUP($B94,Tipologias!$A$4:$V$8,6,0),"")</f>
        <v>2</v>
      </c>
      <c r="H94" s="67">
        <f>IFERROR(VLOOKUP($B94,Tipologias!$A$4:$V$8,9,0),"")</f>
        <v>94.789</v>
      </c>
      <c r="I94" s="67">
        <f>IFERROR(VLOOKUP($B94,Tipologias!$A$4:$V$8,10,0),"")</f>
        <v>83.65</v>
      </c>
      <c r="J94" s="67">
        <f>IFERROR(VLOOKUP($B94,Tipologias!$A$4:$V$8,16,0),"")</f>
        <v>195.564</v>
      </c>
      <c r="K94" s="63" t="s">
        <v>105</v>
      </c>
      <c r="L94" s="68"/>
      <c r="M94" s="69" t="str">
        <f>IFERROR(VLOOKUP($B94,Tipologias!$A$4:$V$8,19,0),"")</f>
        <v/>
      </c>
      <c r="N94" s="69" t="str">
        <f t="shared" si="1"/>
        <v/>
      </c>
      <c r="O94" s="69"/>
      <c r="P94" s="68"/>
      <c r="Q94" s="91" t="s">
        <v>418</v>
      </c>
    </row>
    <row r="95" ht="15.75" customHeight="1">
      <c r="A95" s="90" t="s">
        <v>419</v>
      </c>
      <c r="B95" s="62" t="s">
        <v>170</v>
      </c>
      <c r="C95" s="63" t="s">
        <v>375</v>
      </c>
      <c r="D95" s="63">
        <v>1.0</v>
      </c>
      <c r="E95" s="63" t="s">
        <v>57</v>
      </c>
      <c r="F95" s="66">
        <f>IFERROR(VLOOKUP($B95,Tipologias!$A$4:$V$8,5,0),"")</f>
        <v>2</v>
      </c>
      <c r="G95" s="66">
        <f>IFERROR(VLOOKUP($B95,Tipologias!$A$4:$V$8,6,0),"")</f>
        <v>2</v>
      </c>
      <c r="H95" s="67">
        <f>IFERROR(VLOOKUP($B95,Tipologias!$A$4:$V$8,9,0),"")</f>
        <v>94.789</v>
      </c>
      <c r="I95" s="67">
        <f>IFERROR(VLOOKUP($B95,Tipologias!$A$4:$V$8,10,0),"")</f>
        <v>83.65</v>
      </c>
      <c r="J95" s="67">
        <f>IFERROR(VLOOKUP($B95,Tipologias!$A$4:$V$8,16,0),"")</f>
        <v>195.564</v>
      </c>
      <c r="K95" s="63" t="s">
        <v>105</v>
      </c>
      <c r="L95" s="68"/>
      <c r="M95" s="69" t="str">
        <f>IFERROR(VLOOKUP($B95,Tipologias!$A$4:$V$8,19,0),"")</f>
        <v/>
      </c>
      <c r="N95" s="69" t="str">
        <f t="shared" si="1"/>
        <v/>
      </c>
      <c r="O95" s="69"/>
      <c r="P95" s="68"/>
      <c r="Q95" s="91" t="s">
        <v>420</v>
      </c>
    </row>
    <row r="96" ht="15.75" customHeight="1">
      <c r="A96" s="90" t="s">
        <v>421</v>
      </c>
      <c r="B96" s="62" t="s">
        <v>170</v>
      </c>
      <c r="C96" s="63" t="s">
        <v>375</v>
      </c>
      <c r="D96" s="63">
        <v>1.0</v>
      </c>
      <c r="E96" s="63" t="s">
        <v>57</v>
      </c>
      <c r="F96" s="66">
        <f>IFERROR(VLOOKUP($B96,Tipologias!$A$4:$V$8,5,0),"")</f>
        <v>2</v>
      </c>
      <c r="G96" s="66">
        <f>IFERROR(VLOOKUP($B96,Tipologias!$A$4:$V$8,6,0),"")</f>
        <v>2</v>
      </c>
      <c r="H96" s="67">
        <f>IFERROR(VLOOKUP($B96,Tipologias!$A$4:$V$8,9,0),"")</f>
        <v>94.789</v>
      </c>
      <c r="I96" s="67">
        <f>IFERROR(VLOOKUP($B96,Tipologias!$A$4:$V$8,10,0),"")</f>
        <v>83.65</v>
      </c>
      <c r="J96" s="67">
        <f>IFERROR(VLOOKUP($B96,Tipologias!$A$4:$V$8,16,0),"")</f>
        <v>195.564</v>
      </c>
      <c r="K96" s="63" t="s">
        <v>105</v>
      </c>
      <c r="L96" s="68"/>
      <c r="M96" s="69" t="str">
        <f>IFERROR(VLOOKUP($B96,Tipologias!$A$4:$V$8,19,0),"")</f>
        <v/>
      </c>
      <c r="N96" s="69" t="str">
        <f t="shared" si="1"/>
        <v/>
      </c>
      <c r="O96" s="69"/>
      <c r="P96" s="68"/>
      <c r="Q96" s="91" t="s">
        <v>422</v>
      </c>
    </row>
    <row r="97" ht="15.75" customHeight="1">
      <c r="A97" s="90" t="s">
        <v>423</v>
      </c>
      <c r="B97" s="62" t="s">
        <v>170</v>
      </c>
      <c r="C97" s="63" t="s">
        <v>375</v>
      </c>
      <c r="D97" s="63">
        <v>1.0</v>
      </c>
      <c r="E97" s="63" t="s">
        <v>57</v>
      </c>
      <c r="F97" s="66">
        <f>IFERROR(VLOOKUP($B97,Tipologias!$A$4:$V$8,5,0),"")</f>
        <v>2</v>
      </c>
      <c r="G97" s="66">
        <f>IFERROR(VLOOKUP($B97,Tipologias!$A$4:$V$8,6,0),"")</f>
        <v>2</v>
      </c>
      <c r="H97" s="67">
        <f>IFERROR(VLOOKUP($B97,Tipologias!$A$4:$V$8,9,0),"")</f>
        <v>94.789</v>
      </c>
      <c r="I97" s="67">
        <f>IFERROR(VLOOKUP($B97,Tipologias!$A$4:$V$8,10,0),"")</f>
        <v>83.65</v>
      </c>
      <c r="J97" s="67">
        <f>IFERROR(VLOOKUP($B97,Tipologias!$A$4:$V$8,16,0),"")</f>
        <v>195.564</v>
      </c>
      <c r="K97" s="63" t="s">
        <v>105</v>
      </c>
      <c r="L97" s="68"/>
      <c r="M97" s="69" t="str">
        <f>IFERROR(VLOOKUP($B97,Tipologias!$A$4:$V$8,19,0),"")</f>
        <v/>
      </c>
      <c r="N97" s="69" t="str">
        <f t="shared" si="1"/>
        <v/>
      </c>
      <c r="O97" s="69"/>
      <c r="P97" s="68"/>
      <c r="Q97" s="91" t="s">
        <v>424</v>
      </c>
    </row>
    <row r="98" ht="15.75" customHeight="1">
      <c r="A98" s="90" t="s">
        <v>425</v>
      </c>
      <c r="B98" s="62" t="s">
        <v>170</v>
      </c>
      <c r="C98" s="63" t="s">
        <v>375</v>
      </c>
      <c r="D98" s="63">
        <v>1.0</v>
      </c>
      <c r="E98" s="63" t="s">
        <v>57</v>
      </c>
      <c r="F98" s="66">
        <f>IFERROR(VLOOKUP($B98,Tipologias!$A$4:$V$8,5,0),"")</f>
        <v>2</v>
      </c>
      <c r="G98" s="66">
        <f>IFERROR(VLOOKUP($B98,Tipologias!$A$4:$V$8,6,0),"")</f>
        <v>2</v>
      </c>
      <c r="H98" s="67">
        <f>IFERROR(VLOOKUP($B98,Tipologias!$A$4:$V$8,9,0),"")</f>
        <v>94.789</v>
      </c>
      <c r="I98" s="67">
        <f>IFERROR(VLOOKUP($B98,Tipologias!$A$4:$V$8,10,0),"")</f>
        <v>83.65</v>
      </c>
      <c r="J98" s="67">
        <f>IFERROR(VLOOKUP($B98,Tipologias!$A$4:$V$8,16,0),"")</f>
        <v>195.564</v>
      </c>
      <c r="K98" s="63" t="s">
        <v>105</v>
      </c>
      <c r="L98" s="68"/>
      <c r="M98" s="69" t="str">
        <f>IFERROR(VLOOKUP($B98,Tipologias!$A$4:$V$8,19,0),"")</f>
        <v/>
      </c>
      <c r="N98" s="69" t="str">
        <f t="shared" si="1"/>
        <v/>
      </c>
      <c r="O98" s="69"/>
      <c r="P98" s="68"/>
      <c r="Q98" s="91" t="s">
        <v>426</v>
      </c>
    </row>
    <row r="99" ht="15.75" customHeight="1">
      <c r="A99" s="90" t="s">
        <v>427</v>
      </c>
      <c r="B99" s="62" t="s">
        <v>170</v>
      </c>
      <c r="C99" s="63" t="s">
        <v>375</v>
      </c>
      <c r="D99" s="63">
        <v>1.0</v>
      </c>
      <c r="E99" s="63" t="s">
        <v>57</v>
      </c>
      <c r="F99" s="66">
        <f>IFERROR(VLOOKUP($B99,Tipologias!$A$4:$V$8,5,0),"")</f>
        <v>2</v>
      </c>
      <c r="G99" s="66">
        <f>IFERROR(VLOOKUP($B99,Tipologias!$A$4:$V$8,6,0),"")</f>
        <v>2</v>
      </c>
      <c r="H99" s="67">
        <f>IFERROR(VLOOKUP($B99,Tipologias!$A$4:$V$8,9,0),"")</f>
        <v>94.789</v>
      </c>
      <c r="I99" s="67">
        <f>IFERROR(VLOOKUP($B99,Tipologias!$A$4:$V$8,10,0),"")</f>
        <v>83.65</v>
      </c>
      <c r="J99" s="67">
        <f>IFERROR(VLOOKUP($B99,Tipologias!$A$4:$V$8,16,0),"")</f>
        <v>195.564</v>
      </c>
      <c r="K99" s="63" t="s">
        <v>105</v>
      </c>
      <c r="L99" s="68"/>
      <c r="M99" s="69" t="str">
        <f>IFERROR(VLOOKUP($B99,Tipologias!$A$4:$V$8,19,0),"")</f>
        <v/>
      </c>
      <c r="N99" s="69" t="str">
        <f t="shared" si="1"/>
        <v/>
      </c>
      <c r="O99" s="69"/>
      <c r="P99" s="68"/>
      <c r="Q99" s="91" t="s">
        <v>428</v>
      </c>
    </row>
    <row r="100" ht="15.75" customHeight="1">
      <c r="A100" s="90" t="s">
        <v>429</v>
      </c>
      <c r="B100" s="62" t="s">
        <v>170</v>
      </c>
      <c r="C100" s="63" t="s">
        <v>375</v>
      </c>
      <c r="D100" s="63">
        <v>1.0</v>
      </c>
      <c r="E100" s="63" t="s">
        <v>57</v>
      </c>
      <c r="F100" s="66">
        <f>IFERROR(VLOOKUP($B100,Tipologias!$A$4:$V$8,5,0),"")</f>
        <v>2</v>
      </c>
      <c r="G100" s="66">
        <f>IFERROR(VLOOKUP($B100,Tipologias!$A$4:$V$8,6,0),"")</f>
        <v>2</v>
      </c>
      <c r="H100" s="67">
        <f>IFERROR(VLOOKUP($B100,Tipologias!$A$4:$V$8,9,0),"")</f>
        <v>94.789</v>
      </c>
      <c r="I100" s="67">
        <f>IFERROR(VLOOKUP($B100,Tipologias!$A$4:$V$8,10,0),"")</f>
        <v>83.65</v>
      </c>
      <c r="J100" s="67">
        <f>IFERROR(VLOOKUP($B100,Tipologias!$A$4:$V$8,16,0),"")</f>
        <v>195.564</v>
      </c>
      <c r="K100" s="63" t="s">
        <v>105</v>
      </c>
      <c r="L100" s="68"/>
      <c r="M100" s="69" t="str">
        <f>IFERROR(VLOOKUP($B100,Tipologias!$A$4:$V$8,19,0),"")</f>
        <v/>
      </c>
      <c r="N100" s="69" t="str">
        <f t="shared" si="1"/>
        <v/>
      </c>
      <c r="O100" s="69"/>
      <c r="P100" s="68"/>
      <c r="Q100" s="91" t="s">
        <v>430</v>
      </c>
    </row>
    <row r="101" ht="15.75" customHeight="1">
      <c r="A101" s="90" t="s">
        <v>431</v>
      </c>
      <c r="B101" s="62" t="s">
        <v>170</v>
      </c>
      <c r="C101" s="63" t="s">
        <v>375</v>
      </c>
      <c r="D101" s="63">
        <v>1.0</v>
      </c>
      <c r="E101" s="63" t="s">
        <v>57</v>
      </c>
      <c r="F101" s="66">
        <f>IFERROR(VLOOKUP($B101,Tipologias!$A$4:$V$8,5,0),"")</f>
        <v>2</v>
      </c>
      <c r="G101" s="66">
        <f>IFERROR(VLOOKUP($B101,Tipologias!$A$4:$V$8,6,0),"")</f>
        <v>2</v>
      </c>
      <c r="H101" s="67">
        <f>IFERROR(VLOOKUP($B101,Tipologias!$A$4:$V$8,9,0),"")</f>
        <v>94.789</v>
      </c>
      <c r="I101" s="67">
        <f>IFERROR(VLOOKUP($B101,Tipologias!$A$4:$V$8,10,0),"")</f>
        <v>83.65</v>
      </c>
      <c r="J101" s="67">
        <f>IFERROR(VLOOKUP($B101,Tipologias!$A$4:$V$8,16,0),"")</f>
        <v>195.564</v>
      </c>
      <c r="K101" s="63" t="s">
        <v>105</v>
      </c>
      <c r="L101" s="68"/>
      <c r="M101" s="69" t="str">
        <f>IFERROR(VLOOKUP($B101,Tipologias!$A$4:$V$8,19,0),"")</f>
        <v/>
      </c>
      <c r="N101" s="69" t="str">
        <f t="shared" si="1"/>
        <v/>
      </c>
      <c r="O101" s="69"/>
      <c r="P101" s="68"/>
      <c r="Q101" s="91" t="s">
        <v>432</v>
      </c>
    </row>
    <row r="102" ht="15.75" customHeight="1">
      <c r="A102" s="90" t="s">
        <v>433</v>
      </c>
      <c r="B102" s="62" t="s">
        <v>170</v>
      </c>
      <c r="C102" s="63" t="s">
        <v>375</v>
      </c>
      <c r="D102" s="63">
        <v>1.0</v>
      </c>
      <c r="E102" s="63" t="s">
        <v>57</v>
      </c>
      <c r="F102" s="66">
        <f>IFERROR(VLOOKUP($B102,Tipologias!$A$4:$V$8,5,0),"")</f>
        <v>2</v>
      </c>
      <c r="G102" s="66">
        <f>IFERROR(VLOOKUP($B102,Tipologias!$A$4:$V$8,6,0),"")</f>
        <v>2</v>
      </c>
      <c r="H102" s="67">
        <f>IFERROR(VLOOKUP($B102,Tipologias!$A$4:$V$8,9,0),"")</f>
        <v>94.789</v>
      </c>
      <c r="I102" s="67">
        <f>IFERROR(VLOOKUP($B102,Tipologias!$A$4:$V$8,10,0),"")</f>
        <v>83.65</v>
      </c>
      <c r="J102" s="67">
        <f>IFERROR(VLOOKUP($B102,Tipologias!$A$4:$V$8,16,0),"")</f>
        <v>195.564</v>
      </c>
      <c r="K102" s="63" t="s">
        <v>105</v>
      </c>
      <c r="L102" s="68"/>
      <c r="M102" s="69" t="str">
        <f>IFERROR(VLOOKUP($B102,Tipologias!$A$4:$V$8,19,0),"")</f>
        <v/>
      </c>
      <c r="N102" s="69" t="str">
        <f t="shared" si="1"/>
        <v/>
      </c>
      <c r="O102" s="69"/>
      <c r="P102" s="68"/>
      <c r="Q102" s="91" t="s">
        <v>434</v>
      </c>
    </row>
    <row r="103" ht="15.75" customHeight="1">
      <c r="A103" s="90" t="s">
        <v>435</v>
      </c>
      <c r="B103" s="62" t="s">
        <v>170</v>
      </c>
      <c r="C103" s="63" t="s">
        <v>375</v>
      </c>
      <c r="D103" s="63">
        <v>1.0</v>
      </c>
      <c r="E103" s="63" t="s">
        <v>57</v>
      </c>
      <c r="F103" s="66">
        <f>IFERROR(VLOOKUP($B103,Tipologias!$A$4:$V$8,5,0),"")</f>
        <v>2</v>
      </c>
      <c r="G103" s="66">
        <f>IFERROR(VLOOKUP($B103,Tipologias!$A$4:$V$8,6,0),"")</f>
        <v>2</v>
      </c>
      <c r="H103" s="67">
        <f>IFERROR(VLOOKUP($B103,Tipologias!$A$4:$V$8,9,0),"")</f>
        <v>94.789</v>
      </c>
      <c r="I103" s="67">
        <f>IFERROR(VLOOKUP($B103,Tipologias!$A$4:$V$8,10,0),"")</f>
        <v>83.65</v>
      </c>
      <c r="J103" s="67">
        <f>IFERROR(VLOOKUP($B103,Tipologias!$A$4:$V$8,16,0),"")</f>
        <v>195.564</v>
      </c>
      <c r="K103" s="63" t="s">
        <v>105</v>
      </c>
      <c r="L103" s="68"/>
      <c r="M103" s="69" t="str">
        <f>IFERROR(VLOOKUP($B103,Tipologias!$A$4:$V$8,19,0),"")</f>
        <v/>
      </c>
      <c r="N103" s="69" t="str">
        <f t="shared" si="1"/>
        <v/>
      </c>
      <c r="O103" s="69"/>
      <c r="P103" s="68"/>
      <c r="Q103" s="91" t="s">
        <v>436</v>
      </c>
    </row>
    <row r="104" ht="15.75" customHeight="1">
      <c r="A104" s="90" t="s">
        <v>437</v>
      </c>
      <c r="B104" s="62" t="s">
        <v>170</v>
      </c>
      <c r="C104" s="63" t="s">
        <v>375</v>
      </c>
      <c r="D104" s="63">
        <v>1.0</v>
      </c>
      <c r="E104" s="63" t="s">
        <v>57</v>
      </c>
      <c r="F104" s="66">
        <f>IFERROR(VLOOKUP($B104,Tipologias!$A$4:$V$8,5,0),"")</f>
        <v>2</v>
      </c>
      <c r="G104" s="66">
        <f>IFERROR(VLOOKUP($B104,Tipologias!$A$4:$V$8,6,0),"")</f>
        <v>2</v>
      </c>
      <c r="H104" s="67">
        <f>IFERROR(VLOOKUP($B104,Tipologias!$A$4:$V$8,9,0),"")</f>
        <v>94.789</v>
      </c>
      <c r="I104" s="67">
        <f>IFERROR(VLOOKUP($B104,Tipologias!$A$4:$V$8,10,0),"")</f>
        <v>83.65</v>
      </c>
      <c r="J104" s="67">
        <f>IFERROR(VLOOKUP($B104,Tipologias!$A$4:$V$8,16,0),"")</f>
        <v>195.564</v>
      </c>
      <c r="K104" s="63" t="s">
        <v>105</v>
      </c>
      <c r="L104" s="68"/>
      <c r="M104" s="69" t="str">
        <f>IFERROR(VLOOKUP($B104,Tipologias!$A$4:$V$8,19,0),"")</f>
        <v/>
      </c>
      <c r="N104" s="69" t="str">
        <f t="shared" si="1"/>
        <v/>
      </c>
      <c r="O104" s="69"/>
      <c r="P104" s="68"/>
      <c r="Q104" s="91" t="s">
        <v>438</v>
      </c>
    </row>
    <row r="105" ht="15.75" customHeight="1">
      <c r="A105" s="90" t="s">
        <v>439</v>
      </c>
      <c r="B105" s="62" t="s">
        <v>170</v>
      </c>
      <c r="C105" s="63" t="s">
        <v>375</v>
      </c>
      <c r="D105" s="63">
        <v>1.0</v>
      </c>
      <c r="E105" s="63" t="s">
        <v>57</v>
      </c>
      <c r="F105" s="66">
        <f>IFERROR(VLOOKUP($B105,Tipologias!$A$4:$V$8,5,0),"")</f>
        <v>2</v>
      </c>
      <c r="G105" s="66">
        <f>IFERROR(VLOOKUP($B105,Tipologias!$A$4:$V$8,6,0),"")</f>
        <v>2</v>
      </c>
      <c r="H105" s="67">
        <f>IFERROR(VLOOKUP($B105,Tipologias!$A$4:$V$8,9,0),"")</f>
        <v>94.789</v>
      </c>
      <c r="I105" s="67">
        <f>IFERROR(VLOOKUP($B105,Tipologias!$A$4:$V$8,10,0),"")</f>
        <v>83.65</v>
      </c>
      <c r="J105" s="67">
        <f>IFERROR(VLOOKUP($B105,Tipologias!$A$4:$V$8,16,0),"")</f>
        <v>195.564</v>
      </c>
      <c r="K105" s="63" t="s">
        <v>105</v>
      </c>
      <c r="L105" s="68"/>
      <c r="M105" s="69" t="str">
        <f>IFERROR(VLOOKUP($B105,Tipologias!$A$4:$V$8,19,0),"")</f>
        <v/>
      </c>
      <c r="N105" s="69" t="str">
        <f t="shared" si="1"/>
        <v/>
      </c>
      <c r="O105" s="69"/>
      <c r="P105" s="68"/>
      <c r="Q105" s="91" t="s">
        <v>440</v>
      </c>
    </row>
    <row r="106" ht="15.75" customHeight="1">
      <c r="A106" s="90" t="s">
        <v>441</v>
      </c>
      <c r="B106" s="62" t="s">
        <v>170</v>
      </c>
      <c r="C106" s="63" t="s">
        <v>375</v>
      </c>
      <c r="D106" s="63">
        <v>1.0</v>
      </c>
      <c r="E106" s="63" t="s">
        <v>57</v>
      </c>
      <c r="F106" s="66">
        <f>IFERROR(VLOOKUP($B106,Tipologias!$A$4:$V$8,5,0),"")</f>
        <v>2</v>
      </c>
      <c r="G106" s="66">
        <f>IFERROR(VLOOKUP($B106,Tipologias!$A$4:$V$8,6,0),"")</f>
        <v>2</v>
      </c>
      <c r="H106" s="67">
        <f>IFERROR(VLOOKUP($B106,Tipologias!$A$4:$V$8,9,0),"")</f>
        <v>94.789</v>
      </c>
      <c r="I106" s="67">
        <f>IFERROR(VLOOKUP($B106,Tipologias!$A$4:$V$8,10,0),"")</f>
        <v>83.65</v>
      </c>
      <c r="J106" s="67">
        <f>IFERROR(VLOOKUP($B106,Tipologias!$A$4:$V$8,16,0),"")</f>
        <v>195.564</v>
      </c>
      <c r="K106" s="63" t="s">
        <v>105</v>
      </c>
      <c r="L106" s="68"/>
      <c r="M106" s="69" t="str">
        <f>IFERROR(VLOOKUP($B106,Tipologias!$A$4:$V$8,19,0),"")</f>
        <v/>
      </c>
      <c r="N106" s="69" t="str">
        <f t="shared" si="1"/>
        <v/>
      </c>
      <c r="O106" s="69"/>
      <c r="P106" s="68"/>
      <c r="Q106" s="91" t="s">
        <v>442</v>
      </c>
    </row>
    <row r="107" ht="15.75" customHeight="1">
      <c r="A107" s="90" t="s">
        <v>443</v>
      </c>
      <c r="B107" s="62" t="s">
        <v>170</v>
      </c>
      <c r="C107" s="63" t="s">
        <v>375</v>
      </c>
      <c r="D107" s="63">
        <v>1.0</v>
      </c>
      <c r="E107" s="63" t="s">
        <v>57</v>
      </c>
      <c r="F107" s="66">
        <f>IFERROR(VLOOKUP($B107,Tipologias!$A$4:$V$8,5,0),"")</f>
        <v>2</v>
      </c>
      <c r="G107" s="66">
        <f>IFERROR(VLOOKUP($B107,Tipologias!$A$4:$V$8,6,0),"")</f>
        <v>2</v>
      </c>
      <c r="H107" s="67">
        <f>IFERROR(VLOOKUP($B107,Tipologias!$A$4:$V$8,9,0),"")</f>
        <v>94.789</v>
      </c>
      <c r="I107" s="67">
        <f>IFERROR(VLOOKUP($B107,Tipologias!$A$4:$V$8,10,0),"")</f>
        <v>83.65</v>
      </c>
      <c r="J107" s="67">
        <f>IFERROR(VLOOKUP($B107,Tipologias!$A$4:$V$8,16,0),"")</f>
        <v>195.564</v>
      </c>
      <c r="K107" s="63" t="s">
        <v>105</v>
      </c>
      <c r="L107" s="68"/>
      <c r="M107" s="69" t="str">
        <f>IFERROR(VLOOKUP($B107,Tipologias!$A$4:$V$8,19,0),"")</f>
        <v/>
      </c>
      <c r="N107" s="69" t="str">
        <f t="shared" si="1"/>
        <v/>
      </c>
      <c r="O107" s="69"/>
      <c r="P107" s="68"/>
      <c r="Q107" s="91" t="s">
        <v>444</v>
      </c>
    </row>
    <row r="108" ht="15.75" customHeight="1">
      <c r="A108" s="90" t="s">
        <v>445</v>
      </c>
      <c r="B108" s="62" t="s">
        <v>170</v>
      </c>
      <c r="C108" s="63" t="s">
        <v>375</v>
      </c>
      <c r="D108" s="63">
        <v>1.0</v>
      </c>
      <c r="E108" s="63" t="s">
        <v>57</v>
      </c>
      <c r="F108" s="66">
        <f>IFERROR(VLOOKUP($B108,Tipologias!$A$4:$V$8,5,0),"")</f>
        <v>2</v>
      </c>
      <c r="G108" s="66">
        <f>IFERROR(VLOOKUP($B108,Tipologias!$A$4:$V$8,6,0),"")</f>
        <v>2</v>
      </c>
      <c r="H108" s="67">
        <f>IFERROR(VLOOKUP($B108,Tipologias!$A$4:$V$8,9,0),"")</f>
        <v>94.789</v>
      </c>
      <c r="I108" s="67">
        <f>IFERROR(VLOOKUP($B108,Tipologias!$A$4:$V$8,10,0),"")</f>
        <v>83.65</v>
      </c>
      <c r="J108" s="67">
        <f>IFERROR(VLOOKUP($B108,Tipologias!$A$4:$V$8,16,0),"")</f>
        <v>195.564</v>
      </c>
      <c r="K108" s="63" t="s">
        <v>105</v>
      </c>
      <c r="L108" s="68"/>
      <c r="M108" s="69" t="str">
        <f>IFERROR(VLOOKUP($B108,Tipologias!$A$4:$V$8,19,0),"")</f>
        <v/>
      </c>
      <c r="N108" s="69" t="str">
        <f t="shared" si="1"/>
        <v/>
      </c>
      <c r="O108" s="69"/>
      <c r="P108" s="68"/>
      <c r="Q108" s="91" t="s">
        <v>446</v>
      </c>
    </row>
    <row r="109" ht="15.75" customHeight="1">
      <c r="A109" s="90" t="s">
        <v>447</v>
      </c>
      <c r="B109" s="62" t="s">
        <v>170</v>
      </c>
      <c r="C109" s="63" t="s">
        <v>375</v>
      </c>
      <c r="D109" s="63">
        <v>1.0</v>
      </c>
      <c r="E109" s="63" t="s">
        <v>57</v>
      </c>
      <c r="F109" s="66">
        <f>IFERROR(VLOOKUP($B109,Tipologias!$A$4:$V$8,5,0),"")</f>
        <v>2</v>
      </c>
      <c r="G109" s="66">
        <f>IFERROR(VLOOKUP($B109,Tipologias!$A$4:$V$8,6,0),"")</f>
        <v>2</v>
      </c>
      <c r="H109" s="67">
        <f>IFERROR(VLOOKUP($B109,Tipologias!$A$4:$V$8,9,0),"")</f>
        <v>94.789</v>
      </c>
      <c r="I109" s="67">
        <f>IFERROR(VLOOKUP($B109,Tipologias!$A$4:$V$8,10,0),"")</f>
        <v>83.65</v>
      </c>
      <c r="J109" s="67">
        <f>IFERROR(VLOOKUP($B109,Tipologias!$A$4:$V$8,16,0),"")</f>
        <v>195.564</v>
      </c>
      <c r="K109" s="63" t="s">
        <v>105</v>
      </c>
      <c r="L109" s="68"/>
      <c r="M109" s="69" t="str">
        <f>IFERROR(VLOOKUP($B109,Tipologias!$A$4:$V$8,19,0),"")</f>
        <v/>
      </c>
      <c r="N109" s="69" t="str">
        <f t="shared" si="1"/>
        <v/>
      </c>
      <c r="O109" s="69"/>
      <c r="P109" s="68"/>
      <c r="Q109" s="91" t="s">
        <v>448</v>
      </c>
    </row>
    <row r="110" ht="15.75" customHeight="1">
      <c r="A110" s="90" t="s">
        <v>449</v>
      </c>
      <c r="B110" s="62" t="s">
        <v>170</v>
      </c>
      <c r="C110" s="63" t="s">
        <v>375</v>
      </c>
      <c r="D110" s="63">
        <v>1.0</v>
      </c>
      <c r="E110" s="63" t="s">
        <v>57</v>
      </c>
      <c r="F110" s="66">
        <f>IFERROR(VLOOKUP($B110,Tipologias!$A$4:$V$8,5,0),"")</f>
        <v>2</v>
      </c>
      <c r="G110" s="66">
        <f>IFERROR(VLOOKUP($B110,Tipologias!$A$4:$V$8,6,0),"")</f>
        <v>2</v>
      </c>
      <c r="H110" s="67">
        <f>IFERROR(VLOOKUP($B110,Tipologias!$A$4:$V$8,9,0),"")</f>
        <v>94.789</v>
      </c>
      <c r="I110" s="67">
        <f>IFERROR(VLOOKUP($B110,Tipologias!$A$4:$V$8,10,0),"")</f>
        <v>83.65</v>
      </c>
      <c r="J110" s="67">
        <f>IFERROR(VLOOKUP($B110,Tipologias!$A$4:$V$8,16,0),"")</f>
        <v>195.564</v>
      </c>
      <c r="K110" s="63" t="s">
        <v>105</v>
      </c>
      <c r="L110" s="68"/>
      <c r="M110" s="69" t="str">
        <f>IFERROR(VLOOKUP($B110,Tipologias!$A$4:$V$8,19,0),"")</f>
        <v/>
      </c>
      <c r="N110" s="69" t="str">
        <f t="shared" si="1"/>
        <v/>
      </c>
      <c r="O110" s="69"/>
      <c r="P110" s="68"/>
      <c r="Q110" s="91" t="s">
        <v>450</v>
      </c>
    </row>
    <row r="111" ht="15.75" customHeight="1">
      <c r="A111" s="90" t="s">
        <v>451</v>
      </c>
      <c r="B111" s="62" t="s">
        <v>170</v>
      </c>
      <c r="C111" s="63" t="s">
        <v>375</v>
      </c>
      <c r="D111" s="63">
        <v>1.0</v>
      </c>
      <c r="E111" s="63" t="s">
        <v>57</v>
      </c>
      <c r="F111" s="66">
        <f>IFERROR(VLOOKUP($B111,Tipologias!$A$4:$V$8,5,0),"")</f>
        <v>2</v>
      </c>
      <c r="G111" s="66">
        <f>IFERROR(VLOOKUP($B111,Tipologias!$A$4:$V$8,6,0),"")</f>
        <v>2</v>
      </c>
      <c r="H111" s="67">
        <f>IFERROR(VLOOKUP($B111,Tipologias!$A$4:$V$8,9,0),"")</f>
        <v>94.789</v>
      </c>
      <c r="I111" s="67">
        <f>IFERROR(VLOOKUP($B111,Tipologias!$A$4:$V$8,10,0),"")</f>
        <v>83.65</v>
      </c>
      <c r="J111" s="67">
        <f>IFERROR(VLOOKUP($B111,Tipologias!$A$4:$V$8,16,0),"")</f>
        <v>195.564</v>
      </c>
      <c r="K111" s="63" t="s">
        <v>105</v>
      </c>
      <c r="L111" s="68"/>
      <c r="M111" s="69" t="str">
        <f>IFERROR(VLOOKUP($B111,Tipologias!$A$4:$V$8,19,0),"")</f>
        <v/>
      </c>
      <c r="N111" s="69" t="str">
        <f t="shared" si="1"/>
        <v/>
      </c>
      <c r="O111" s="69"/>
      <c r="P111" s="68"/>
      <c r="Q111" s="91" t="s">
        <v>452</v>
      </c>
    </row>
    <row r="112" ht="15.75" customHeight="1">
      <c r="A112" s="90" t="s">
        <v>453</v>
      </c>
      <c r="B112" s="62" t="s">
        <v>170</v>
      </c>
      <c r="C112" s="63" t="s">
        <v>375</v>
      </c>
      <c r="D112" s="63">
        <v>1.0</v>
      </c>
      <c r="E112" s="63" t="s">
        <v>57</v>
      </c>
      <c r="F112" s="66">
        <f>IFERROR(VLOOKUP($B112,Tipologias!$A$4:$V$8,5,0),"")</f>
        <v>2</v>
      </c>
      <c r="G112" s="66">
        <f>IFERROR(VLOOKUP($B112,Tipologias!$A$4:$V$8,6,0),"")</f>
        <v>2</v>
      </c>
      <c r="H112" s="67">
        <f>IFERROR(VLOOKUP($B112,Tipologias!$A$4:$V$8,9,0),"")</f>
        <v>94.789</v>
      </c>
      <c r="I112" s="67">
        <f>IFERROR(VLOOKUP($B112,Tipologias!$A$4:$V$8,10,0),"")</f>
        <v>83.65</v>
      </c>
      <c r="J112" s="67">
        <f>IFERROR(VLOOKUP($B112,Tipologias!$A$4:$V$8,16,0),"")</f>
        <v>195.564</v>
      </c>
      <c r="K112" s="63" t="s">
        <v>105</v>
      </c>
      <c r="L112" s="68"/>
      <c r="M112" s="69" t="str">
        <f>IFERROR(VLOOKUP($B112,Tipologias!$A$4:$V$8,19,0),"")</f>
        <v/>
      </c>
      <c r="N112" s="69" t="str">
        <f t="shared" si="1"/>
        <v/>
      </c>
      <c r="O112" s="69"/>
      <c r="P112" s="68"/>
      <c r="Q112" s="91" t="s">
        <v>454</v>
      </c>
    </row>
    <row r="113" ht="15.75" customHeight="1">
      <c r="A113" s="90" t="s">
        <v>455</v>
      </c>
      <c r="B113" s="62" t="s">
        <v>170</v>
      </c>
      <c r="C113" s="63" t="s">
        <v>375</v>
      </c>
      <c r="D113" s="63">
        <v>1.0</v>
      </c>
      <c r="E113" s="63" t="s">
        <v>57</v>
      </c>
      <c r="F113" s="66">
        <f>IFERROR(VLOOKUP($B113,Tipologias!$A$4:$V$8,5,0),"")</f>
        <v>2</v>
      </c>
      <c r="G113" s="66">
        <f>IFERROR(VLOOKUP($B113,Tipologias!$A$4:$V$8,6,0),"")</f>
        <v>2</v>
      </c>
      <c r="H113" s="67">
        <f>IFERROR(VLOOKUP($B113,Tipologias!$A$4:$V$8,9,0),"")</f>
        <v>94.789</v>
      </c>
      <c r="I113" s="67">
        <f>IFERROR(VLOOKUP($B113,Tipologias!$A$4:$V$8,10,0),"")</f>
        <v>83.65</v>
      </c>
      <c r="J113" s="67">
        <f>IFERROR(VLOOKUP($B113,Tipologias!$A$4:$V$8,16,0),"")</f>
        <v>195.564</v>
      </c>
      <c r="K113" s="63" t="s">
        <v>105</v>
      </c>
      <c r="L113" s="68"/>
      <c r="M113" s="69" t="str">
        <f>IFERROR(VLOOKUP($B113,Tipologias!$A$4:$V$8,19,0),"")</f>
        <v/>
      </c>
      <c r="N113" s="69" t="str">
        <f t="shared" si="1"/>
        <v/>
      </c>
      <c r="O113" s="69"/>
      <c r="P113" s="68"/>
      <c r="Q113" s="91" t="s">
        <v>456</v>
      </c>
    </row>
    <row r="114" ht="15.75" customHeight="1">
      <c r="A114" s="90" t="s">
        <v>457</v>
      </c>
      <c r="B114" s="62" t="s">
        <v>170</v>
      </c>
      <c r="C114" s="63" t="s">
        <v>375</v>
      </c>
      <c r="D114" s="63">
        <v>1.0</v>
      </c>
      <c r="E114" s="63" t="s">
        <v>57</v>
      </c>
      <c r="F114" s="66">
        <f>IFERROR(VLOOKUP($B114,Tipologias!$A$4:$V$8,5,0),"")</f>
        <v>2</v>
      </c>
      <c r="G114" s="66">
        <f>IFERROR(VLOOKUP($B114,Tipologias!$A$4:$V$8,6,0),"")</f>
        <v>2</v>
      </c>
      <c r="H114" s="67">
        <f>IFERROR(VLOOKUP($B114,Tipologias!$A$4:$V$8,9,0),"")</f>
        <v>94.789</v>
      </c>
      <c r="I114" s="67">
        <f>IFERROR(VLOOKUP($B114,Tipologias!$A$4:$V$8,10,0),"")</f>
        <v>83.65</v>
      </c>
      <c r="J114" s="67">
        <f>IFERROR(VLOOKUP($B114,Tipologias!$A$4:$V$8,16,0),"")</f>
        <v>195.564</v>
      </c>
      <c r="K114" s="63" t="s">
        <v>105</v>
      </c>
      <c r="L114" s="68"/>
      <c r="M114" s="69" t="str">
        <f>IFERROR(VLOOKUP($B114,Tipologias!$A$4:$V$8,19,0),"")</f>
        <v/>
      </c>
      <c r="N114" s="69" t="str">
        <f t="shared" si="1"/>
        <v/>
      </c>
      <c r="O114" s="69"/>
      <c r="P114" s="68"/>
      <c r="Q114" s="91" t="s">
        <v>458</v>
      </c>
    </row>
    <row r="115" ht="15.75" customHeight="1">
      <c r="A115" s="90" t="s">
        <v>459</v>
      </c>
      <c r="B115" s="62" t="s">
        <v>170</v>
      </c>
      <c r="C115" s="63" t="s">
        <v>375</v>
      </c>
      <c r="D115" s="63">
        <v>1.0</v>
      </c>
      <c r="E115" s="63" t="s">
        <v>57</v>
      </c>
      <c r="F115" s="66">
        <f>IFERROR(VLOOKUP($B115,Tipologias!$A$4:$V$8,5,0),"")</f>
        <v>2</v>
      </c>
      <c r="G115" s="66">
        <f>IFERROR(VLOOKUP($B115,Tipologias!$A$4:$V$8,6,0),"")</f>
        <v>2</v>
      </c>
      <c r="H115" s="67">
        <f>IFERROR(VLOOKUP($B115,Tipologias!$A$4:$V$8,9,0),"")</f>
        <v>94.789</v>
      </c>
      <c r="I115" s="67">
        <f>IFERROR(VLOOKUP($B115,Tipologias!$A$4:$V$8,10,0),"")</f>
        <v>83.65</v>
      </c>
      <c r="J115" s="67">
        <f>IFERROR(VLOOKUP($B115,Tipologias!$A$4:$V$8,16,0),"")</f>
        <v>195.564</v>
      </c>
      <c r="K115" s="63" t="s">
        <v>105</v>
      </c>
      <c r="L115" s="68"/>
      <c r="M115" s="69" t="str">
        <f>IFERROR(VLOOKUP($B115,Tipologias!$A$4:$V$8,19,0),"")</f>
        <v/>
      </c>
      <c r="N115" s="69" t="str">
        <f t="shared" si="1"/>
        <v/>
      </c>
      <c r="O115" s="69"/>
      <c r="P115" s="68"/>
      <c r="Q115" s="91" t="s">
        <v>460</v>
      </c>
    </row>
    <row r="116" ht="15.75" customHeight="1">
      <c r="A116" s="90" t="s">
        <v>461</v>
      </c>
      <c r="B116" s="62" t="s">
        <v>170</v>
      </c>
      <c r="C116" s="63" t="s">
        <v>375</v>
      </c>
      <c r="D116" s="63">
        <v>1.0</v>
      </c>
      <c r="E116" s="63" t="s">
        <v>57</v>
      </c>
      <c r="F116" s="66">
        <f>IFERROR(VLOOKUP($B116,Tipologias!$A$4:$V$8,5,0),"")</f>
        <v>2</v>
      </c>
      <c r="G116" s="66">
        <f>IFERROR(VLOOKUP($B116,Tipologias!$A$4:$V$8,6,0),"")</f>
        <v>2</v>
      </c>
      <c r="H116" s="67">
        <f>IFERROR(VLOOKUP($B116,Tipologias!$A$4:$V$8,9,0),"")</f>
        <v>94.789</v>
      </c>
      <c r="I116" s="67">
        <f>IFERROR(VLOOKUP($B116,Tipologias!$A$4:$V$8,10,0),"")</f>
        <v>83.65</v>
      </c>
      <c r="J116" s="67">
        <f>IFERROR(VLOOKUP($B116,Tipologias!$A$4:$V$8,16,0),"")</f>
        <v>195.564</v>
      </c>
      <c r="K116" s="63" t="s">
        <v>105</v>
      </c>
      <c r="L116" s="68"/>
      <c r="M116" s="69" t="str">
        <f>IFERROR(VLOOKUP($B116,Tipologias!$A$4:$V$8,19,0),"")</f>
        <v/>
      </c>
      <c r="N116" s="69" t="str">
        <f t="shared" si="1"/>
        <v/>
      </c>
      <c r="O116" s="69"/>
      <c r="P116" s="68"/>
      <c r="Q116" s="91" t="s">
        <v>462</v>
      </c>
    </row>
    <row r="117" ht="15.75" customHeight="1">
      <c r="A117" s="90" t="s">
        <v>463</v>
      </c>
      <c r="B117" s="62" t="s">
        <v>170</v>
      </c>
      <c r="C117" s="63" t="s">
        <v>375</v>
      </c>
      <c r="D117" s="63">
        <v>1.0</v>
      </c>
      <c r="E117" s="63" t="s">
        <v>57</v>
      </c>
      <c r="F117" s="66">
        <f>IFERROR(VLOOKUP($B117,Tipologias!$A$4:$V$8,5,0),"")</f>
        <v>2</v>
      </c>
      <c r="G117" s="66">
        <f>IFERROR(VLOOKUP($B117,Tipologias!$A$4:$V$8,6,0),"")</f>
        <v>2</v>
      </c>
      <c r="H117" s="67">
        <f>IFERROR(VLOOKUP($B117,Tipologias!$A$4:$V$8,9,0),"")</f>
        <v>94.789</v>
      </c>
      <c r="I117" s="67">
        <f>IFERROR(VLOOKUP($B117,Tipologias!$A$4:$V$8,10,0),"")</f>
        <v>83.65</v>
      </c>
      <c r="J117" s="67">
        <f>IFERROR(VLOOKUP($B117,Tipologias!$A$4:$V$8,16,0),"")</f>
        <v>195.564</v>
      </c>
      <c r="K117" s="63" t="s">
        <v>105</v>
      </c>
      <c r="L117" s="68"/>
      <c r="M117" s="69" t="str">
        <f>IFERROR(VLOOKUP($B117,Tipologias!$A$4:$V$8,19,0),"")</f>
        <v/>
      </c>
      <c r="N117" s="69" t="str">
        <f t="shared" si="1"/>
        <v/>
      </c>
      <c r="O117" s="69"/>
      <c r="P117" s="68"/>
      <c r="Q117" s="91" t="s">
        <v>464</v>
      </c>
    </row>
    <row r="118" ht="15.75" customHeight="1">
      <c r="A118" s="90" t="s">
        <v>465</v>
      </c>
      <c r="B118" s="62" t="s">
        <v>170</v>
      </c>
      <c r="C118" s="63" t="s">
        <v>375</v>
      </c>
      <c r="D118" s="63">
        <v>1.0</v>
      </c>
      <c r="E118" s="63" t="s">
        <v>57</v>
      </c>
      <c r="F118" s="66">
        <f>IFERROR(VLOOKUP($B118,Tipologias!$A$4:$V$8,5,0),"")</f>
        <v>2</v>
      </c>
      <c r="G118" s="66">
        <f>IFERROR(VLOOKUP($B118,Tipologias!$A$4:$V$8,6,0),"")</f>
        <v>2</v>
      </c>
      <c r="H118" s="67">
        <f>IFERROR(VLOOKUP($B118,Tipologias!$A$4:$V$8,9,0),"")</f>
        <v>94.789</v>
      </c>
      <c r="I118" s="67">
        <f>IFERROR(VLOOKUP($B118,Tipologias!$A$4:$V$8,10,0),"")</f>
        <v>83.65</v>
      </c>
      <c r="J118" s="67">
        <f>IFERROR(VLOOKUP($B118,Tipologias!$A$4:$V$8,16,0),"")</f>
        <v>195.564</v>
      </c>
      <c r="K118" s="63" t="s">
        <v>105</v>
      </c>
      <c r="L118" s="68"/>
      <c r="M118" s="69" t="str">
        <f>IFERROR(VLOOKUP($B118,Tipologias!$A$4:$V$8,19,0),"")</f>
        <v/>
      </c>
      <c r="N118" s="69" t="str">
        <f t="shared" si="1"/>
        <v/>
      </c>
      <c r="O118" s="69"/>
      <c r="P118" s="68"/>
      <c r="Q118" s="91" t="s">
        <v>466</v>
      </c>
    </row>
    <row r="119" ht="15.75" customHeight="1">
      <c r="A119" s="90" t="s">
        <v>467</v>
      </c>
      <c r="B119" s="62" t="s">
        <v>170</v>
      </c>
      <c r="C119" s="63" t="s">
        <v>375</v>
      </c>
      <c r="D119" s="63">
        <v>1.0</v>
      </c>
      <c r="E119" s="63" t="s">
        <v>57</v>
      </c>
      <c r="F119" s="66">
        <f>IFERROR(VLOOKUP($B119,Tipologias!$A$4:$V$8,5,0),"")</f>
        <v>2</v>
      </c>
      <c r="G119" s="66">
        <f>IFERROR(VLOOKUP($B119,Tipologias!$A$4:$V$8,6,0),"")</f>
        <v>2</v>
      </c>
      <c r="H119" s="67">
        <f>IFERROR(VLOOKUP($B119,Tipologias!$A$4:$V$8,9,0),"")</f>
        <v>94.789</v>
      </c>
      <c r="I119" s="67">
        <f>IFERROR(VLOOKUP($B119,Tipologias!$A$4:$V$8,10,0),"")</f>
        <v>83.65</v>
      </c>
      <c r="J119" s="67">
        <f>IFERROR(VLOOKUP($B119,Tipologias!$A$4:$V$8,16,0),"")</f>
        <v>195.564</v>
      </c>
      <c r="K119" s="63" t="s">
        <v>105</v>
      </c>
      <c r="L119" s="68"/>
      <c r="M119" s="69" t="str">
        <f>IFERROR(VLOOKUP($B119,Tipologias!$A$4:$V$8,19,0),"")</f>
        <v/>
      </c>
      <c r="N119" s="69" t="str">
        <f t="shared" si="1"/>
        <v/>
      </c>
      <c r="O119" s="69"/>
      <c r="P119" s="68"/>
      <c r="Q119" s="91" t="s">
        <v>468</v>
      </c>
    </row>
    <row r="120" ht="15.75" customHeight="1">
      <c r="A120" s="90" t="s">
        <v>469</v>
      </c>
      <c r="B120" s="62" t="s">
        <v>170</v>
      </c>
      <c r="C120" s="63" t="s">
        <v>375</v>
      </c>
      <c r="D120" s="63">
        <v>1.0</v>
      </c>
      <c r="E120" s="63" t="s">
        <v>57</v>
      </c>
      <c r="F120" s="66">
        <f>IFERROR(VLOOKUP($B120,Tipologias!$A$4:$V$8,5,0),"")</f>
        <v>2</v>
      </c>
      <c r="G120" s="66">
        <f>IFERROR(VLOOKUP($B120,Tipologias!$A$4:$V$8,6,0),"")</f>
        <v>2</v>
      </c>
      <c r="H120" s="67">
        <f>IFERROR(VLOOKUP($B120,Tipologias!$A$4:$V$8,9,0),"")</f>
        <v>94.789</v>
      </c>
      <c r="I120" s="67">
        <f>IFERROR(VLOOKUP($B120,Tipologias!$A$4:$V$8,10,0),"")</f>
        <v>83.65</v>
      </c>
      <c r="J120" s="67">
        <f>IFERROR(VLOOKUP($B120,Tipologias!$A$4:$V$8,16,0),"")</f>
        <v>195.564</v>
      </c>
      <c r="K120" s="63" t="s">
        <v>105</v>
      </c>
      <c r="L120" s="68"/>
      <c r="M120" s="69" t="str">
        <f>IFERROR(VLOOKUP($B120,Tipologias!$A$4:$V$8,19,0),"")</f>
        <v/>
      </c>
      <c r="N120" s="69" t="str">
        <f t="shared" si="1"/>
        <v/>
      </c>
      <c r="O120" s="69"/>
      <c r="P120" s="68"/>
      <c r="Q120" s="91" t="s">
        <v>470</v>
      </c>
    </row>
    <row r="121" ht="15.75" customHeight="1">
      <c r="A121" s="90" t="s">
        <v>471</v>
      </c>
      <c r="B121" s="62" t="s">
        <v>170</v>
      </c>
      <c r="C121" s="63" t="s">
        <v>375</v>
      </c>
      <c r="D121" s="63">
        <v>1.0</v>
      </c>
      <c r="E121" s="63" t="s">
        <v>57</v>
      </c>
      <c r="F121" s="66">
        <f>IFERROR(VLOOKUP($B121,Tipologias!$A$4:$V$8,5,0),"")</f>
        <v>2</v>
      </c>
      <c r="G121" s="66">
        <f>IFERROR(VLOOKUP($B121,Tipologias!$A$4:$V$8,6,0),"")</f>
        <v>2</v>
      </c>
      <c r="H121" s="67">
        <f>IFERROR(VLOOKUP($B121,Tipologias!$A$4:$V$8,9,0),"")</f>
        <v>94.789</v>
      </c>
      <c r="I121" s="67">
        <f>IFERROR(VLOOKUP($B121,Tipologias!$A$4:$V$8,10,0),"")</f>
        <v>83.65</v>
      </c>
      <c r="J121" s="67">
        <f>IFERROR(VLOOKUP($B121,Tipologias!$A$4:$V$8,16,0),"")</f>
        <v>195.564</v>
      </c>
      <c r="K121" s="63" t="s">
        <v>105</v>
      </c>
      <c r="L121" s="68"/>
      <c r="M121" s="69" t="str">
        <f>IFERROR(VLOOKUP($B121,Tipologias!$A$4:$V$8,19,0),"")</f>
        <v/>
      </c>
      <c r="N121" s="69" t="str">
        <f t="shared" si="1"/>
        <v/>
      </c>
      <c r="O121" s="69"/>
      <c r="P121" s="68"/>
      <c r="Q121" s="91" t="s">
        <v>472</v>
      </c>
    </row>
    <row r="122" ht="15.75" customHeight="1">
      <c r="A122" s="90" t="s">
        <v>473</v>
      </c>
      <c r="B122" s="62" t="s">
        <v>170</v>
      </c>
      <c r="C122" s="63" t="s">
        <v>375</v>
      </c>
      <c r="D122" s="63">
        <v>1.0</v>
      </c>
      <c r="E122" s="63" t="s">
        <v>57</v>
      </c>
      <c r="F122" s="66">
        <f>IFERROR(VLOOKUP($B122,Tipologias!$A$4:$V$8,5,0),"")</f>
        <v>2</v>
      </c>
      <c r="G122" s="66">
        <f>IFERROR(VLOOKUP($B122,Tipologias!$A$4:$V$8,6,0),"")</f>
        <v>2</v>
      </c>
      <c r="H122" s="67">
        <f>IFERROR(VLOOKUP($B122,Tipologias!$A$4:$V$8,9,0),"")</f>
        <v>94.789</v>
      </c>
      <c r="I122" s="67">
        <f>IFERROR(VLOOKUP($B122,Tipologias!$A$4:$V$8,10,0),"")</f>
        <v>83.65</v>
      </c>
      <c r="J122" s="67">
        <f>IFERROR(VLOOKUP($B122,Tipologias!$A$4:$V$8,16,0),"")</f>
        <v>195.564</v>
      </c>
      <c r="K122" s="63" t="s">
        <v>105</v>
      </c>
      <c r="L122" s="68"/>
      <c r="M122" s="69" t="str">
        <f>IFERROR(VLOOKUP($B122,Tipologias!$A$4:$V$8,19,0),"")</f>
        <v/>
      </c>
      <c r="N122" s="69" t="str">
        <f t="shared" si="1"/>
        <v/>
      </c>
      <c r="O122" s="69"/>
      <c r="P122" s="68"/>
      <c r="Q122" s="91" t="s">
        <v>474</v>
      </c>
    </row>
    <row r="123" ht="15.75" customHeight="1">
      <c r="A123" s="90" t="s">
        <v>475</v>
      </c>
      <c r="B123" s="62" t="s">
        <v>170</v>
      </c>
      <c r="C123" s="63" t="s">
        <v>375</v>
      </c>
      <c r="D123" s="63">
        <v>1.0</v>
      </c>
      <c r="E123" s="63" t="s">
        <v>57</v>
      </c>
      <c r="F123" s="66">
        <f>IFERROR(VLOOKUP($B123,Tipologias!$A$4:$V$8,5,0),"")</f>
        <v>2</v>
      </c>
      <c r="G123" s="66">
        <f>IFERROR(VLOOKUP($B123,Tipologias!$A$4:$V$8,6,0),"")</f>
        <v>2</v>
      </c>
      <c r="H123" s="67">
        <f>IFERROR(VLOOKUP($B123,Tipologias!$A$4:$V$8,9,0),"")</f>
        <v>94.789</v>
      </c>
      <c r="I123" s="67">
        <f>IFERROR(VLOOKUP($B123,Tipologias!$A$4:$V$8,10,0),"")</f>
        <v>83.65</v>
      </c>
      <c r="J123" s="67">
        <f>IFERROR(VLOOKUP($B123,Tipologias!$A$4:$V$8,16,0),"")</f>
        <v>195.564</v>
      </c>
      <c r="K123" s="63" t="s">
        <v>105</v>
      </c>
      <c r="L123" s="68"/>
      <c r="M123" s="69" t="str">
        <f>IFERROR(VLOOKUP($B123,Tipologias!$A$4:$V$8,19,0),"")</f>
        <v/>
      </c>
      <c r="N123" s="69" t="str">
        <f t="shared" si="1"/>
        <v/>
      </c>
      <c r="O123" s="69"/>
      <c r="P123" s="68"/>
      <c r="Q123" s="91" t="s">
        <v>476</v>
      </c>
    </row>
    <row r="124" ht="15.75" customHeight="1">
      <c r="A124" s="90" t="s">
        <v>477</v>
      </c>
      <c r="B124" s="62" t="s">
        <v>170</v>
      </c>
      <c r="C124" s="63" t="s">
        <v>375</v>
      </c>
      <c r="D124" s="63">
        <v>1.0</v>
      </c>
      <c r="E124" s="63" t="s">
        <v>57</v>
      </c>
      <c r="F124" s="66">
        <f>IFERROR(VLOOKUP($B124,Tipologias!$A$4:$V$8,5,0),"")</f>
        <v>2</v>
      </c>
      <c r="G124" s="66">
        <f>IFERROR(VLOOKUP($B124,Tipologias!$A$4:$V$8,6,0),"")</f>
        <v>2</v>
      </c>
      <c r="H124" s="67">
        <f>IFERROR(VLOOKUP($B124,Tipologias!$A$4:$V$8,9,0),"")</f>
        <v>94.789</v>
      </c>
      <c r="I124" s="67">
        <f>IFERROR(VLOOKUP($B124,Tipologias!$A$4:$V$8,10,0),"")</f>
        <v>83.65</v>
      </c>
      <c r="J124" s="67">
        <f>IFERROR(VLOOKUP($B124,Tipologias!$A$4:$V$8,16,0),"")</f>
        <v>195.564</v>
      </c>
      <c r="K124" s="63" t="s">
        <v>105</v>
      </c>
      <c r="L124" s="68"/>
      <c r="M124" s="69" t="str">
        <f>IFERROR(VLOOKUP($B124,Tipologias!$A$4:$V$8,19,0),"")</f>
        <v/>
      </c>
      <c r="N124" s="69" t="str">
        <f t="shared" si="1"/>
        <v/>
      </c>
      <c r="O124" s="69"/>
      <c r="P124" s="68"/>
      <c r="Q124" s="91" t="s">
        <v>478</v>
      </c>
    </row>
    <row r="125" ht="15.75" customHeight="1">
      <c r="A125" s="90" t="s">
        <v>479</v>
      </c>
      <c r="B125" s="62" t="s">
        <v>170</v>
      </c>
      <c r="C125" s="63" t="s">
        <v>375</v>
      </c>
      <c r="D125" s="63">
        <v>1.0</v>
      </c>
      <c r="E125" s="63" t="s">
        <v>57</v>
      </c>
      <c r="F125" s="66">
        <f>IFERROR(VLOOKUP($B125,Tipologias!$A$4:$V$8,5,0),"")</f>
        <v>2</v>
      </c>
      <c r="G125" s="66">
        <f>IFERROR(VLOOKUP($B125,Tipologias!$A$4:$V$8,6,0),"")</f>
        <v>2</v>
      </c>
      <c r="H125" s="67">
        <f>IFERROR(VLOOKUP($B125,Tipologias!$A$4:$V$8,9,0),"")</f>
        <v>94.789</v>
      </c>
      <c r="I125" s="67">
        <f>IFERROR(VLOOKUP($B125,Tipologias!$A$4:$V$8,10,0),"")</f>
        <v>83.65</v>
      </c>
      <c r="J125" s="67">
        <f>IFERROR(VLOOKUP($B125,Tipologias!$A$4:$V$8,16,0),"")</f>
        <v>195.564</v>
      </c>
      <c r="K125" s="63" t="s">
        <v>105</v>
      </c>
      <c r="L125" s="68"/>
      <c r="M125" s="69" t="str">
        <f>IFERROR(VLOOKUP($B125,Tipologias!$A$4:$V$8,19,0),"")</f>
        <v/>
      </c>
      <c r="N125" s="69" t="str">
        <f t="shared" si="1"/>
        <v/>
      </c>
      <c r="O125" s="69"/>
      <c r="P125" s="68"/>
      <c r="Q125" s="91" t="s">
        <v>480</v>
      </c>
    </row>
    <row r="126" ht="15.75" customHeight="1">
      <c r="A126" s="90" t="s">
        <v>481</v>
      </c>
      <c r="B126" s="62" t="s">
        <v>170</v>
      </c>
      <c r="C126" s="63" t="s">
        <v>375</v>
      </c>
      <c r="D126" s="63">
        <v>1.0</v>
      </c>
      <c r="E126" s="63" t="s">
        <v>57</v>
      </c>
      <c r="F126" s="66">
        <f>IFERROR(VLOOKUP($B126,Tipologias!$A$4:$V$8,5,0),"")</f>
        <v>2</v>
      </c>
      <c r="G126" s="66">
        <f>IFERROR(VLOOKUP($B126,Tipologias!$A$4:$V$8,6,0),"")</f>
        <v>2</v>
      </c>
      <c r="H126" s="67">
        <f>IFERROR(VLOOKUP($B126,Tipologias!$A$4:$V$8,9,0),"")</f>
        <v>94.789</v>
      </c>
      <c r="I126" s="67">
        <f>IFERROR(VLOOKUP($B126,Tipologias!$A$4:$V$8,10,0),"")</f>
        <v>83.65</v>
      </c>
      <c r="J126" s="67">
        <f>IFERROR(VLOOKUP($B126,Tipologias!$A$4:$V$8,16,0),"")</f>
        <v>195.564</v>
      </c>
      <c r="K126" s="63" t="s">
        <v>105</v>
      </c>
      <c r="L126" s="68"/>
      <c r="M126" s="69" t="str">
        <f>IFERROR(VLOOKUP($B126,Tipologias!$A$4:$V$8,19,0),"")</f>
        <v/>
      </c>
      <c r="N126" s="69" t="str">
        <f t="shared" si="1"/>
        <v/>
      </c>
      <c r="O126" s="69"/>
      <c r="P126" s="68"/>
      <c r="Q126" s="91" t="s">
        <v>482</v>
      </c>
    </row>
    <row r="127" ht="15.75" customHeight="1">
      <c r="A127" s="90" t="s">
        <v>483</v>
      </c>
      <c r="B127" s="62" t="s">
        <v>170</v>
      </c>
      <c r="C127" s="63" t="s">
        <v>484</v>
      </c>
      <c r="D127" s="63">
        <v>1.0</v>
      </c>
      <c r="E127" s="63" t="s">
        <v>57</v>
      </c>
      <c r="F127" s="66">
        <f>IFERROR(VLOOKUP($B127,Tipologias!$A$4:$V$8,5,0),"")</f>
        <v>2</v>
      </c>
      <c r="G127" s="66">
        <f>IFERROR(VLOOKUP($B127,Tipologias!$A$4:$V$8,6,0),"")</f>
        <v>2</v>
      </c>
      <c r="H127" s="67">
        <f>IFERROR(VLOOKUP($B127,Tipologias!$A$4:$V$8,9,0),"")</f>
        <v>94.789</v>
      </c>
      <c r="I127" s="67">
        <f>IFERROR(VLOOKUP($B127,Tipologias!$A$4:$V$8,10,0),"")</f>
        <v>83.65</v>
      </c>
      <c r="J127" s="67">
        <f>IFERROR(VLOOKUP($B127,Tipologias!$A$4:$V$8,16,0),"")</f>
        <v>195.564</v>
      </c>
      <c r="K127" s="63" t="s">
        <v>105</v>
      </c>
      <c r="L127" s="68"/>
      <c r="M127" s="69" t="str">
        <f>IFERROR(VLOOKUP($B127,Tipologias!$A$4:$V$8,19,0),"")</f>
        <v/>
      </c>
      <c r="N127" s="69" t="str">
        <f t="shared" si="1"/>
        <v/>
      </c>
      <c r="O127" s="69"/>
      <c r="P127" s="68"/>
      <c r="Q127" s="91" t="s">
        <v>485</v>
      </c>
    </row>
    <row r="128" ht="15.75" customHeight="1">
      <c r="A128" s="90" t="s">
        <v>486</v>
      </c>
      <c r="B128" s="62" t="s">
        <v>170</v>
      </c>
      <c r="C128" s="63" t="s">
        <v>484</v>
      </c>
      <c r="D128" s="63">
        <v>1.0</v>
      </c>
      <c r="E128" s="63" t="s">
        <v>57</v>
      </c>
      <c r="F128" s="66">
        <f>IFERROR(VLOOKUP($B128,Tipologias!$A$4:$V$8,5,0),"")</f>
        <v>2</v>
      </c>
      <c r="G128" s="66">
        <f>IFERROR(VLOOKUP($B128,Tipologias!$A$4:$V$8,6,0),"")</f>
        <v>2</v>
      </c>
      <c r="H128" s="67">
        <f>IFERROR(VLOOKUP($B128,Tipologias!$A$4:$V$8,9,0),"")</f>
        <v>94.789</v>
      </c>
      <c r="I128" s="67">
        <f>IFERROR(VLOOKUP($B128,Tipologias!$A$4:$V$8,10,0),"")</f>
        <v>83.65</v>
      </c>
      <c r="J128" s="67">
        <f>IFERROR(VLOOKUP($B128,Tipologias!$A$4:$V$8,16,0),"")</f>
        <v>195.564</v>
      </c>
      <c r="K128" s="63" t="s">
        <v>105</v>
      </c>
      <c r="L128" s="68"/>
      <c r="M128" s="69" t="str">
        <f>IFERROR(VLOOKUP($B128,Tipologias!$A$4:$V$8,19,0),"")</f>
        <v/>
      </c>
      <c r="N128" s="69" t="str">
        <f t="shared" si="1"/>
        <v/>
      </c>
      <c r="O128" s="69"/>
      <c r="P128" s="68"/>
      <c r="Q128" s="91" t="s">
        <v>487</v>
      </c>
    </row>
    <row r="129" ht="15.75" customHeight="1">
      <c r="A129" s="90" t="s">
        <v>488</v>
      </c>
      <c r="B129" s="62" t="s">
        <v>170</v>
      </c>
      <c r="C129" s="63" t="s">
        <v>484</v>
      </c>
      <c r="D129" s="63">
        <v>1.0</v>
      </c>
      <c r="E129" s="63" t="s">
        <v>57</v>
      </c>
      <c r="F129" s="66">
        <f>IFERROR(VLOOKUP($B129,Tipologias!$A$4:$V$8,5,0),"")</f>
        <v>2</v>
      </c>
      <c r="G129" s="66">
        <f>IFERROR(VLOOKUP($B129,Tipologias!$A$4:$V$8,6,0),"")</f>
        <v>2</v>
      </c>
      <c r="H129" s="67">
        <f>IFERROR(VLOOKUP($B129,Tipologias!$A$4:$V$8,9,0),"")</f>
        <v>94.789</v>
      </c>
      <c r="I129" s="67">
        <f>IFERROR(VLOOKUP($B129,Tipologias!$A$4:$V$8,10,0),"")</f>
        <v>83.65</v>
      </c>
      <c r="J129" s="67">
        <f>IFERROR(VLOOKUP($B129,Tipologias!$A$4:$V$8,16,0),"")</f>
        <v>195.564</v>
      </c>
      <c r="K129" s="63" t="s">
        <v>105</v>
      </c>
      <c r="L129" s="68"/>
      <c r="M129" s="69" t="str">
        <f>IFERROR(VLOOKUP($B129,Tipologias!$A$4:$V$8,19,0),"")</f>
        <v/>
      </c>
      <c r="N129" s="69" t="str">
        <f t="shared" si="1"/>
        <v/>
      </c>
      <c r="O129" s="69"/>
      <c r="P129" s="68"/>
      <c r="Q129" s="91" t="s">
        <v>489</v>
      </c>
    </row>
    <row r="130" ht="15.75" customHeight="1">
      <c r="A130" s="90" t="s">
        <v>490</v>
      </c>
      <c r="B130" s="62" t="s">
        <v>170</v>
      </c>
      <c r="C130" s="63" t="s">
        <v>484</v>
      </c>
      <c r="D130" s="63">
        <v>1.0</v>
      </c>
      <c r="E130" s="63" t="s">
        <v>57</v>
      </c>
      <c r="F130" s="66">
        <f>IFERROR(VLOOKUP($B130,Tipologias!$A$4:$V$8,5,0),"")</f>
        <v>2</v>
      </c>
      <c r="G130" s="66">
        <f>IFERROR(VLOOKUP($B130,Tipologias!$A$4:$V$8,6,0),"")</f>
        <v>2</v>
      </c>
      <c r="H130" s="67">
        <f>IFERROR(VLOOKUP($B130,Tipologias!$A$4:$V$8,9,0),"")</f>
        <v>94.789</v>
      </c>
      <c r="I130" s="67">
        <f>IFERROR(VLOOKUP($B130,Tipologias!$A$4:$V$8,10,0),"")</f>
        <v>83.65</v>
      </c>
      <c r="J130" s="67">
        <f>IFERROR(VLOOKUP($B130,Tipologias!$A$4:$V$8,16,0),"")</f>
        <v>195.564</v>
      </c>
      <c r="K130" s="63" t="s">
        <v>105</v>
      </c>
      <c r="L130" s="68"/>
      <c r="M130" s="69" t="str">
        <f>IFERROR(VLOOKUP($B130,Tipologias!$A$4:$V$8,19,0),"")</f>
        <v/>
      </c>
      <c r="N130" s="69" t="str">
        <f t="shared" si="1"/>
        <v/>
      </c>
      <c r="O130" s="69"/>
      <c r="P130" s="68"/>
      <c r="Q130" s="91" t="s">
        <v>491</v>
      </c>
    </row>
    <row r="131" ht="15.75" customHeight="1">
      <c r="A131" s="90" t="s">
        <v>492</v>
      </c>
      <c r="B131" s="62" t="s">
        <v>170</v>
      </c>
      <c r="C131" s="63" t="s">
        <v>484</v>
      </c>
      <c r="D131" s="63">
        <v>1.0</v>
      </c>
      <c r="E131" s="63" t="s">
        <v>57</v>
      </c>
      <c r="F131" s="66">
        <f>IFERROR(VLOOKUP($B131,Tipologias!$A$4:$V$8,5,0),"")</f>
        <v>2</v>
      </c>
      <c r="G131" s="66">
        <f>IFERROR(VLOOKUP($B131,Tipologias!$A$4:$V$8,6,0),"")</f>
        <v>2</v>
      </c>
      <c r="H131" s="67">
        <f>IFERROR(VLOOKUP($B131,Tipologias!$A$4:$V$8,9,0),"")</f>
        <v>94.789</v>
      </c>
      <c r="I131" s="67">
        <f>IFERROR(VLOOKUP($B131,Tipologias!$A$4:$V$8,10,0),"")</f>
        <v>83.65</v>
      </c>
      <c r="J131" s="67">
        <f>IFERROR(VLOOKUP($B131,Tipologias!$A$4:$V$8,16,0),"")</f>
        <v>195.564</v>
      </c>
      <c r="K131" s="63" t="s">
        <v>105</v>
      </c>
      <c r="L131" s="68"/>
      <c r="M131" s="69" t="str">
        <f>IFERROR(VLOOKUP($B131,Tipologias!$A$4:$V$8,19,0),"")</f>
        <v/>
      </c>
      <c r="N131" s="69" t="str">
        <f t="shared" si="1"/>
        <v/>
      </c>
      <c r="O131" s="69"/>
      <c r="P131" s="68"/>
      <c r="Q131" s="91" t="s">
        <v>493</v>
      </c>
    </row>
    <row r="132" ht="15.75" customHeight="1">
      <c r="A132" s="90" t="s">
        <v>494</v>
      </c>
      <c r="B132" s="62" t="s">
        <v>170</v>
      </c>
      <c r="C132" s="63" t="s">
        <v>484</v>
      </c>
      <c r="D132" s="63">
        <v>1.0</v>
      </c>
      <c r="E132" s="63" t="s">
        <v>57</v>
      </c>
      <c r="F132" s="66">
        <f>IFERROR(VLOOKUP($B132,Tipologias!$A$4:$V$8,5,0),"")</f>
        <v>2</v>
      </c>
      <c r="G132" s="66">
        <f>IFERROR(VLOOKUP($B132,Tipologias!$A$4:$V$8,6,0),"")</f>
        <v>2</v>
      </c>
      <c r="H132" s="67">
        <f>IFERROR(VLOOKUP($B132,Tipologias!$A$4:$V$8,9,0),"")</f>
        <v>94.789</v>
      </c>
      <c r="I132" s="67">
        <f>IFERROR(VLOOKUP($B132,Tipologias!$A$4:$V$8,10,0),"")</f>
        <v>83.65</v>
      </c>
      <c r="J132" s="67">
        <f>IFERROR(VLOOKUP($B132,Tipologias!$A$4:$V$8,16,0),"")</f>
        <v>195.564</v>
      </c>
      <c r="K132" s="63" t="s">
        <v>105</v>
      </c>
      <c r="L132" s="68"/>
      <c r="M132" s="69" t="str">
        <f>IFERROR(VLOOKUP($B132,Tipologias!$A$4:$V$8,19,0),"")</f>
        <v/>
      </c>
      <c r="N132" s="69" t="str">
        <f t="shared" si="1"/>
        <v/>
      </c>
      <c r="O132" s="69"/>
      <c r="P132" s="68"/>
      <c r="Q132" s="91" t="s">
        <v>495</v>
      </c>
    </row>
    <row r="133" ht="15.75" customHeight="1">
      <c r="A133" s="90" t="s">
        <v>496</v>
      </c>
      <c r="B133" s="62" t="s">
        <v>170</v>
      </c>
      <c r="C133" s="63" t="s">
        <v>484</v>
      </c>
      <c r="D133" s="63">
        <v>1.0</v>
      </c>
      <c r="E133" s="63" t="s">
        <v>57</v>
      </c>
      <c r="F133" s="66">
        <f>IFERROR(VLOOKUP($B133,Tipologias!$A$4:$V$8,5,0),"")</f>
        <v>2</v>
      </c>
      <c r="G133" s="66">
        <f>IFERROR(VLOOKUP($B133,Tipologias!$A$4:$V$8,6,0),"")</f>
        <v>2</v>
      </c>
      <c r="H133" s="67">
        <f>IFERROR(VLOOKUP($B133,Tipologias!$A$4:$V$8,9,0),"")</f>
        <v>94.789</v>
      </c>
      <c r="I133" s="67">
        <f>IFERROR(VLOOKUP($B133,Tipologias!$A$4:$V$8,10,0),"")</f>
        <v>83.65</v>
      </c>
      <c r="J133" s="67">
        <f>IFERROR(VLOOKUP($B133,Tipologias!$A$4:$V$8,16,0),"")</f>
        <v>195.564</v>
      </c>
      <c r="K133" s="63" t="s">
        <v>105</v>
      </c>
      <c r="L133" s="68"/>
      <c r="M133" s="69" t="str">
        <f>IFERROR(VLOOKUP($B133,Tipologias!$A$4:$V$8,19,0),"")</f>
        <v/>
      </c>
      <c r="N133" s="69" t="str">
        <f t="shared" si="1"/>
        <v/>
      </c>
      <c r="O133" s="69"/>
      <c r="P133" s="68"/>
      <c r="Q133" s="91" t="s">
        <v>497</v>
      </c>
    </row>
    <row r="134" ht="15.75" customHeight="1">
      <c r="A134" s="90" t="s">
        <v>498</v>
      </c>
      <c r="B134" s="62" t="s">
        <v>170</v>
      </c>
      <c r="C134" s="63" t="s">
        <v>484</v>
      </c>
      <c r="D134" s="63">
        <v>1.0</v>
      </c>
      <c r="E134" s="63" t="s">
        <v>57</v>
      </c>
      <c r="F134" s="66">
        <f>IFERROR(VLOOKUP($B134,Tipologias!$A$4:$V$8,5,0),"")</f>
        <v>2</v>
      </c>
      <c r="G134" s="66">
        <f>IFERROR(VLOOKUP($B134,Tipologias!$A$4:$V$8,6,0),"")</f>
        <v>2</v>
      </c>
      <c r="H134" s="67">
        <f>IFERROR(VLOOKUP($B134,Tipologias!$A$4:$V$8,9,0),"")</f>
        <v>94.789</v>
      </c>
      <c r="I134" s="67">
        <f>IFERROR(VLOOKUP($B134,Tipologias!$A$4:$V$8,10,0),"")</f>
        <v>83.65</v>
      </c>
      <c r="J134" s="67">
        <f>IFERROR(VLOOKUP($B134,Tipologias!$A$4:$V$8,16,0),"")</f>
        <v>195.564</v>
      </c>
      <c r="K134" s="63" t="s">
        <v>105</v>
      </c>
      <c r="L134" s="68"/>
      <c r="M134" s="69" t="str">
        <f>IFERROR(VLOOKUP($B134,Tipologias!$A$4:$V$8,19,0),"")</f>
        <v/>
      </c>
      <c r="N134" s="69" t="str">
        <f t="shared" si="1"/>
        <v/>
      </c>
      <c r="O134" s="69"/>
      <c r="P134" s="68"/>
      <c r="Q134" s="91" t="s">
        <v>499</v>
      </c>
    </row>
    <row r="135" ht="15.75" customHeight="1">
      <c r="A135" s="90" t="s">
        <v>500</v>
      </c>
      <c r="B135" s="62" t="s">
        <v>170</v>
      </c>
      <c r="C135" s="63" t="s">
        <v>484</v>
      </c>
      <c r="D135" s="63">
        <v>1.0</v>
      </c>
      <c r="E135" s="63" t="s">
        <v>57</v>
      </c>
      <c r="F135" s="66">
        <f>IFERROR(VLOOKUP($B135,Tipologias!$A$4:$V$8,5,0),"")</f>
        <v>2</v>
      </c>
      <c r="G135" s="66">
        <f>IFERROR(VLOOKUP($B135,Tipologias!$A$4:$V$8,6,0),"")</f>
        <v>2</v>
      </c>
      <c r="H135" s="67">
        <f>IFERROR(VLOOKUP($B135,Tipologias!$A$4:$V$8,9,0),"")</f>
        <v>94.789</v>
      </c>
      <c r="I135" s="67">
        <f>IFERROR(VLOOKUP($B135,Tipologias!$A$4:$V$8,10,0),"")</f>
        <v>83.65</v>
      </c>
      <c r="J135" s="67">
        <f>IFERROR(VLOOKUP($B135,Tipologias!$A$4:$V$8,16,0),"")</f>
        <v>195.564</v>
      </c>
      <c r="K135" s="63" t="s">
        <v>105</v>
      </c>
      <c r="L135" s="68"/>
      <c r="M135" s="69" t="str">
        <f>IFERROR(VLOOKUP($B135,Tipologias!$A$4:$V$8,19,0),"")</f>
        <v/>
      </c>
      <c r="N135" s="69" t="str">
        <f t="shared" si="1"/>
        <v/>
      </c>
      <c r="O135" s="69"/>
      <c r="P135" s="68"/>
      <c r="Q135" s="91" t="s">
        <v>501</v>
      </c>
    </row>
    <row r="136" ht="15.75" customHeight="1">
      <c r="A136" s="90" t="s">
        <v>502</v>
      </c>
      <c r="B136" s="62" t="s">
        <v>170</v>
      </c>
      <c r="C136" s="63" t="s">
        <v>484</v>
      </c>
      <c r="D136" s="63">
        <v>1.0</v>
      </c>
      <c r="E136" s="63" t="s">
        <v>57</v>
      </c>
      <c r="F136" s="66">
        <f>IFERROR(VLOOKUP($B136,Tipologias!$A$4:$V$8,5,0),"")</f>
        <v>2</v>
      </c>
      <c r="G136" s="66">
        <f>IFERROR(VLOOKUP($B136,Tipologias!$A$4:$V$8,6,0),"")</f>
        <v>2</v>
      </c>
      <c r="H136" s="67">
        <f>IFERROR(VLOOKUP($B136,Tipologias!$A$4:$V$8,9,0),"")</f>
        <v>94.789</v>
      </c>
      <c r="I136" s="67">
        <f>IFERROR(VLOOKUP($B136,Tipologias!$A$4:$V$8,10,0),"")</f>
        <v>83.65</v>
      </c>
      <c r="J136" s="67">
        <f>IFERROR(VLOOKUP($B136,Tipologias!$A$4:$V$8,16,0),"")</f>
        <v>195.564</v>
      </c>
      <c r="K136" s="63" t="s">
        <v>105</v>
      </c>
      <c r="L136" s="68"/>
      <c r="M136" s="69" t="str">
        <f>IFERROR(VLOOKUP($B136,Tipologias!$A$4:$V$8,19,0),"")</f>
        <v/>
      </c>
      <c r="N136" s="69" t="str">
        <f t="shared" si="1"/>
        <v/>
      </c>
      <c r="O136" s="69"/>
      <c r="P136" s="68"/>
      <c r="Q136" s="91" t="s">
        <v>503</v>
      </c>
    </row>
    <row r="137" ht="15.75" customHeight="1">
      <c r="A137" s="90" t="s">
        <v>504</v>
      </c>
      <c r="B137" s="62" t="s">
        <v>170</v>
      </c>
      <c r="C137" s="63" t="s">
        <v>484</v>
      </c>
      <c r="D137" s="63">
        <v>1.0</v>
      </c>
      <c r="E137" s="63" t="s">
        <v>57</v>
      </c>
      <c r="F137" s="66">
        <f>IFERROR(VLOOKUP($B137,Tipologias!$A$4:$V$8,5,0),"")</f>
        <v>2</v>
      </c>
      <c r="G137" s="66">
        <f>IFERROR(VLOOKUP($B137,Tipologias!$A$4:$V$8,6,0),"")</f>
        <v>2</v>
      </c>
      <c r="H137" s="67">
        <f>IFERROR(VLOOKUP($B137,Tipologias!$A$4:$V$8,9,0),"")</f>
        <v>94.789</v>
      </c>
      <c r="I137" s="67">
        <f>IFERROR(VLOOKUP($B137,Tipologias!$A$4:$V$8,10,0),"")</f>
        <v>83.65</v>
      </c>
      <c r="J137" s="67">
        <f>IFERROR(VLOOKUP($B137,Tipologias!$A$4:$V$8,16,0),"")</f>
        <v>195.564</v>
      </c>
      <c r="K137" s="63" t="s">
        <v>105</v>
      </c>
      <c r="L137" s="68"/>
      <c r="M137" s="69" t="str">
        <f>IFERROR(VLOOKUP($B137,Tipologias!$A$4:$V$8,19,0),"")</f>
        <v/>
      </c>
      <c r="N137" s="69" t="str">
        <f t="shared" si="1"/>
        <v/>
      </c>
      <c r="O137" s="69"/>
      <c r="P137" s="68"/>
      <c r="Q137" s="91" t="s">
        <v>505</v>
      </c>
    </row>
    <row r="138" ht="15.75" customHeight="1">
      <c r="A138" s="90" t="s">
        <v>506</v>
      </c>
      <c r="B138" s="62" t="s">
        <v>170</v>
      </c>
      <c r="C138" s="63" t="s">
        <v>484</v>
      </c>
      <c r="D138" s="63">
        <v>1.0</v>
      </c>
      <c r="E138" s="63" t="s">
        <v>57</v>
      </c>
      <c r="F138" s="66">
        <f>IFERROR(VLOOKUP($B138,Tipologias!$A$4:$V$8,5,0),"")</f>
        <v>2</v>
      </c>
      <c r="G138" s="66">
        <f>IFERROR(VLOOKUP($B138,Tipologias!$A$4:$V$8,6,0),"")</f>
        <v>2</v>
      </c>
      <c r="H138" s="67">
        <f>IFERROR(VLOOKUP($B138,Tipologias!$A$4:$V$8,9,0),"")</f>
        <v>94.789</v>
      </c>
      <c r="I138" s="67">
        <f>IFERROR(VLOOKUP($B138,Tipologias!$A$4:$V$8,10,0),"")</f>
        <v>83.65</v>
      </c>
      <c r="J138" s="67">
        <f>IFERROR(VLOOKUP($B138,Tipologias!$A$4:$V$8,16,0),"")</f>
        <v>195.564</v>
      </c>
      <c r="K138" s="63" t="s">
        <v>105</v>
      </c>
      <c r="L138" s="68"/>
      <c r="M138" s="69" t="str">
        <f>IFERROR(VLOOKUP($B138,Tipologias!$A$4:$V$8,19,0),"")</f>
        <v/>
      </c>
      <c r="N138" s="69" t="str">
        <f t="shared" si="1"/>
        <v/>
      </c>
      <c r="O138" s="69"/>
      <c r="P138" s="68"/>
      <c r="Q138" s="91" t="s">
        <v>507</v>
      </c>
    </row>
    <row r="139" ht="15.75" customHeight="1">
      <c r="A139" s="90" t="s">
        <v>508</v>
      </c>
      <c r="B139" s="62" t="s">
        <v>170</v>
      </c>
      <c r="C139" s="63" t="s">
        <v>484</v>
      </c>
      <c r="D139" s="63">
        <v>1.0</v>
      </c>
      <c r="E139" s="63" t="s">
        <v>57</v>
      </c>
      <c r="F139" s="66">
        <f>IFERROR(VLOOKUP($B139,Tipologias!$A$4:$V$8,5,0),"")</f>
        <v>2</v>
      </c>
      <c r="G139" s="66">
        <f>IFERROR(VLOOKUP($B139,Tipologias!$A$4:$V$8,6,0),"")</f>
        <v>2</v>
      </c>
      <c r="H139" s="67">
        <f>IFERROR(VLOOKUP($B139,Tipologias!$A$4:$V$8,9,0),"")</f>
        <v>94.789</v>
      </c>
      <c r="I139" s="67">
        <f>IFERROR(VLOOKUP($B139,Tipologias!$A$4:$V$8,10,0),"")</f>
        <v>83.65</v>
      </c>
      <c r="J139" s="67">
        <f>IFERROR(VLOOKUP($B139,Tipologias!$A$4:$V$8,16,0),"")</f>
        <v>195.564</v>
      </c>
      <c r="K139" s="63" t="s">
        <v>105</v>
      </c>
      <c r="L139" s="68"/>
      <c r="M139" s="69" t="str">
        <f>IFERROR(VLOOKUP($B139,Tipologias!$A$4:$V$8,19,0),"")</f>
        <v/>
      </c>
      <c r="N139" s="69" t="str">
        <f t="shared" si="1"/>
        <v/>
      </c>
      <c r="O139" s="69"/>
      <c r="P139" s="68"/>
      <c r="Q139" s="91" t="s">
        <v>509</v>
      </c>
    </row>
    <row r="140" ht="15.75" customHeight="1">
      <c r="A140" s="90" t="s">
        <v>510</v>
      </c>
      <c r="B140" s="62" t="s">
        <v>170</v>
      </c>
      <c r="C140" s="63" t="s">
        <v>484</v>
      </c>
      <c r="D140" s="63">
        <v>1.0</v>
      </c>
      <c r="E140" s="63" t="s">
        <v>57</v>
      </c>
      <c r="F140" s="66">
        <f>IFERROR(VLOOKUP($B140,Tipologias!$A$4:$V$8,5,0),"")</f>
        <v>2</v>
      </c>
      <c r="G140" s="66">
        <f>IFERROR(VLOOKUP($B140,Tipologias!$A$4:$V$8,6,0),"")</f>
        <v>2</v>
      </c>
      <c r="H140" s="67">
        <f>IFERROR(VLOOKUP($B140,Tipologias!$A$4:$V$8,9,0),"")</f>
        <v>94.789</v>
      </c>
      <c r="I140" s="67">
        <f>IFERROR(VLOOKUP($B140,Tipologias!$A$4:$V$8,10,0),"")</f>
        <v>83.65</v>
      </c>
      <c r="J140" s="67">
        <f>IFERROR(VLOOKUP($B140,Tipologias!$A$4:$V$8,16,0),"")</f>
        <v>195.564</v>
      </c>
      <c r="K140" s="63" t="s">
        <v>105</v>
      </c>
      <c r="L140" s="68"/>
      <c r="M140" s="69" t="str">
        <f>IFERROR(VLOOKUP($B140,Tipologias!$A$4:$V$8,19,0),"")</f>
        <v/>
      </c>
      <c r="N140" s="69" t="str">
        <f t="shared" si="1"/>
        <v/>
      </c>
      <c r="O140" s="69"/>
      <c r="P140" s="68"/>
      <c r="Q140" s="91" t="s">
        <v>511</v>
      </c>
    </row>
    <row r="141" ht="15.75" customHeight="1">
      <c r="A141" s="90" t="s">
        <v>512</v>
      </c>
      <c r="B141" s="62" t="s">
        <v>170</v>
      </c>
      <c r="C141" s="63" t="s">
        <v>484</v>
      </c>
      <c r="D141" s="63">
        <v>1.0</v>
      </c>
      <c r="E141" s="63" t="s">
        <v>57</v>
      </c>
      <c r="F141" s="66">
        <f>IFERROR(VLOOKUP($B141,Tipologias!$A$4:$V$8,5,0),"")</f>
        <v>2</v>
      </c>
      <c r="G141" s="66">
        <f>IFERROR(VLOOKUP($B141,Tipologias!$A$4:$V$8,6,0),"")</f>
        <v>2</v>
      </c>
      <c r="H141" s="67">
        <f>IFERROR(VLOOKUP($B141,Tipologias!$A$4:$V$8,9,0),"")</f>
        <v>94.789</v>
      </c>
      <c r="I141" s="67">
        <f>IFERROR(VLOOKUP($B141,Tipologias!$A$4:$V$8,10,0),"")</f>
        <v>83.65</v>
      </c>
      <c r="J141" s="67">
        <f>IFERROR(VLOOKUP($B141,Tipologias!$A$4:$V$8,16,0),"")</f>
        <v>195.564</v>
      </c>
      <c r="K141" s="63" t="s">
        <v>105</v>
      </c>
      <c r="L141" s="68"/>
      <c r="M141" s="69" t="str">
        <f>IFERROR(VLOOKUP($B141,Tipologias!$A$4:$V$8,19,0),"")</f>
        <v/>
      </c>
      <c r="N141" s="69" t="str">
        <f t="shared" si="1"/>
        <v/>
      </c>
      <c r="O141" s="69"/>
      <c r="P141" s="68"/>
      <c r="Q141" s="91" t="s">
        <v>513</v>
      </c>
    </row>
    <row r="142" ht="15.75" customHeight="1">
      <c r="A142" s="90" t="s">
        <v>514</v>
      </c>
      <c r="B142" s="62" t="s">
        <v>170</v>
      </c>
      <c r="C142" s="63" t="s">
        <v>484</v>
      </c>
      <c r="D142" s="63">
        <v>1.0</v>
      </c>
      <c r="E142" s="63" t="s">
        <v>57</v>
      </c>
      <c r="F142" s="66">
        <f>IFERROR(VLOOKUP($B142,Tipologias!$A$4:$V$8,5,0),"")</f>
        <v>2</v>
      </c>
      <c r="G142" s="66">
        <f>IFERROR(VLOOKUP($B142,Tipologias!$A$4:$V$8,6,0),"")</f>
        <v>2</v>
      </c>
      <c r="H142" s="67">
        <f>IFERROR(VLOOKUP($B142,Tipologias!$A$4:$V$8,9,0),"")</f>
        <v>94.789</v>
      </c>
      <c r="I142" s="67">
        <f>IFERROR(VLOOKUP($B142,Tipologias!$A$4:$V$8,10,0),"")</f>
        <v>83.65</v>
      </c>
      <c r="J142" s="67">
        <f>IFERROR(VLOOKUP($B142,Tipologias!$A$4:$V$8,16,0),"")</f>
        <v>195.564</v>
      </c>
      <c r="K142" s="63" t="s">
        <v>105</v>
      </c>
      <c r="L142" s="68"/>
      <c r="M142" s="69" t="str">
        <f>IFERROR(VLOOKUP($B142,Tipologias!$A$4:$V$8,19,0),"")</f>
        <v/>
      </c>
      <c r="N142" s="69" t="str">
        <f t="shared" si="1"/>
        <v/>
      </c>
      <c r="O142" s="69"/>
      <c r="P142" s="68"/>
      <c r="Q142" s="91" t="s">
        <v>515</v>
      </c>
    </row>
    <row r="143" ht="15.75" customHeight="1">
      <c r="A143" s="90" t="s">
        <v>516</v>
      </c>
      <c r="B143" s="62" t="s">
        <v>170</v>
      </c>
      <c r="C143" s="63" t="s">
        <v>484</v>
      </c>
      <c r="D143" s="63">
        <v>1.0</v>
      </c>
      <c r="E143" s="63" t="s">
        <v>57</v>
      </c>
      <c r="F143" s="66">
        <f>IFERROR(VLOOKUP($B143,Tipologias!$A$4:$V$8,5,0),"")</f>
        <v>2</v>
      </c>
      <c r="G143" s="66">
        <f>IFERROR(VLOOKUP($B143,Tipologias!$A$4:$V$8,6,0),"")</f>
        <v>2</v>
      </c>
      <c r="H143" s="67">
        <f>IFERROR(VLOOKUP($B143,Tipologias!$A$4:$V$8,9,0),"")</f>
        <v>94.789</v>
      </c>
      <c r="I143" s="67">
        <f>IFERROR(VLOOKUP($B143,Tipologias!$A$4:$V$8,10,0),"")</f>
        <v>83.65</v>
      </c>
      <c r="J143" s="67">
        <f>IFERROR(VLOOKUP($B143,Tipologias!$A$4:$V$8,16,0),"")</f>
        <v>195.564</v>
      </c>
      <c r="K143" s="63" t="s">
        <v>105</v>
      </c>
      <c r="L143" s="68"/>
      <c r="M143" s="69" t="str">
        <f>IFERROR(VLOOKUP($B143,Tipologias!$A$4:$V$8,19,0),"")</f>
        <v/>
      </c>
      <c r="N143" s="69" t="str">
        <f t="shared" si="1"/>
        <v/>
      </c>
      <c r="O143" s="69"/>
      <c r="P143" s="68"/>
      <c r="Q143" s="91" t="s">
        <v>517</v>
      </c>
      <c r="R143" s="59"/>
      <c r="S143" s="59"/>
      <c r="T143" s="59"/>
    </row>
    <row r="144" ht="15.75" customHeight="1">
      <c r="A144" s="90" t="s">
        <v>518</v>
      </c>
      <c r="B144" s="62" t="s">
        <v>170</v>
      </c>
      <c r="C144" s="63" t="s">
        <v>484</v>
      </c>
      <c r="D144" s="63">
        <v>1.0</v>
      </c>
      <c r="E144" s="63" t="s">
        <v>57</v>
      </c>
      <c r="F144" s="66">
        <f>IFERROR(VLOOKUP($B144,Tipologias!$A$4:$V$8,5,0),"")</f>
        <v>2</v>
      </c>
      <c r="G144" s="66">
        <f>IFERROR(VLOOKUP($B144,Tipologias!$A$4:$V$8,6,0),"")</f>
        <v>2</v>
      </c>
      <c r="H144" s="67">
        <f>IFERROR(VLOOKUP($B144,Tipologias!$A$4:$V$8,9,0),"")</f>
        <v>94.789</v>
      </c>
      <c r="I144" s="67">
        <f>IFERROR(VLOOKUP($B144,Tipologias!$A$4:$V$8,10,0),"")</f>
        <v>83.65</v>
      </c>
      <c r="J144" s="67">
        <f>IFERROR(VLOOKUP($B144,Tipologias!$A$4:$V$8,16,0),"")</f>
        <v>195.564</v>
      </c>
      <c r="K144" s="63" t="s">
        <v>105</v>
      </c>
      <c r="L144" s="68"/>
      <c r="M144" s="69" t="str">
        <f>IFERROR(VLOOKUP($B144,Tipologias!$A$4:$V$8,19,0),"")</f>
        <v/>
      </c>
      <c r="N144" s="69" t="str">
        <f t="shared" si="1"/>
        <v/>
      </c>
      <c r="O144" s="69"/>
      <c r="P144" s="68"/>
      <c r="Q144" s="91" t="s">
        <v>519</v>
      </c>
      <c r="R144" s="59"/>
      <c r="S144" s="59"/>
      <c r="T144" s="59"/>
    </row>
    <row r="145" ht="15.75" customHeight="1">
      <c r="A145" s="90" t="s">
        <v>520</v>
      </c>
      <c r="B145" s="62" t="s">
        <v>170</v>
      </c>
      <c r="C145" s="63" t="s">
        <v>484</v>
      </c>
      <c r="D145" s="63">
        <v>1.0</v>
      </c>
      <c r="E145" s="63" t="s">
        <v>57</v>
      </c>
      <c r="F145" s="66">
        <f>IFERROR(VLOOKUP($B145,Tipologias!$A$4:$V$8,5,0),"")</f>
        <v>2</v>
      </c>
      <c r="G145" s="66">
        <f>IFERROR(VLOOKUP($B145,Tipologias!$A$4:$V$8,6,0),"")</f>
        <v>2</v>
      </c>
      <c r="H145" s="67">
        <f>IFERROR(VLOOKUP($B145,Tipologias!$A$4:$V$8,9,0),"")</f>
        <v>94.789</v>
      </c>
      <c r="I145" s="67">
        <f>IFERROR(VLOOKUP($B145,Tipologias!$A$4:$V$8,10,0),"")</f>
        <v>83.65</v>
      </c>
      <c r="J145" s="67">
        <f>IFERROR(VLOOKUP($B145,Tipologias!$A$4:$V$8,16,0),"")</f>
        <v>195.564</v>
      </c>
      <c r="K145" s="63" t="s">
        <v>105</v>
      </c>
      <c r="L145" s="68"/>
      <c r="M145" s="69" t="str">
        <f>IFERROR(VLOOKUP($B145,Tipologias!$A$4:$V$8,19,0),"")</f>
        <v/>
      </c>
      <c r="N145" s="69" t="str">
        <f t="shared" si="1"/>
        <v/>
      </c>
      <c r="O145" s="69"/>
      <c r="P145" s="68"/>
      <c r="Q145" s="91" t="s">
        <v>521</v>
      </c>
      <c r="R145" s="59"/>
      <c r="S145" s="59"/>
      <c r="T145" s="59"/>
    </row>
    <row r="146" ht="15.75" customHeight="1">
      <c r="A146" s="90" t="s">
        <v>522</v>
      </c>
      <c r="B146" s="62" t="s">
        <v>170</v>
      </c>
      <c r="C146" s="63" t="s">
        <v>484</v>
      </c>
      <c r="D146" s="63">
        <v>1.0</v>
      </c>
      <c r="E146" s="63" t="s">
        <v>57</v>
      </c>
      <c r="F146" s="66">
        <f>IFERROR(VLOOKUP($B146,Tipologias!$A$4:$V$8,5,0),"")</f>
        <v>2</v>
      </c>
      <c r="G146" s="66">
        <f>IFERROR(VLOOKUP($B146,Tipologias!$A$4:$V$8,6,0),"")</f>
        <v>2</v>
      </c>
      <c r="H146" s="67">
        <f>IFERROR(VLOOKUP($B146,Tipologias!$A$4:$V$8,9,0),"")</f>
        <v>94.789</v>
      </c>
      <c r="I146" s="67">
        <f>IFERROR(VLOOKUP($B146,Tipologias!$A$4:$V$8,10,0),"")</f>
        <v>83.65</v>
      </c>
      <c r="J146" s="67">
        <f>IFERROR(VLOOKUP($B146,Tipologias!$A$4:$V$8,16,0),"")</f>
        <v>195.564</v>
      </c>
      <c r="K146" s="63" t="s">
        <v>105</v>
      </c>
      <c r="L146" s="68"/>
      <c r="M146" s="69" t="str">
        <f>IFERROR(VLOOKUP($B146,Tipologias!$A$4:$V$8,19,0),"")</f>
        <v/>
      </c>
      <c r="N146" s="69" t="str">
        <f t="shared" si="1"/>
        <v/>
      </c>
      <c r="O146" s="69"/>
      <c r="P146" s="68"/>
      <c r="Q146" s="91" t="s">
        <v>523</v>
      </c>
      <c r="R146" s="59"/>
      <c r="S146" s="59"/>
      <c r="T146" s="59"/>
    </row>
    <row r="147" ht="15.75" customHeight="1">
      <c r="A147" s="90" t="s">
        <v>524</v>
      </c>
      <c r="B147" s="62" t="s">
        <v>170</v>
      </c>
      <c r="C147" s="63" t="s">
        <v>484</v>
      </c>
      <c r="D147" s="63">
        <v>1.0</v>
      </c>
      <c r="E147" s="63" t="s">
        <v>57</v>
      </c>
      <c r="F147" s="66">
        <f>IFERROR(VLOOKUP($B147,Tipologias!$A$4:$V$8,5,0),"")</f>
        <v>2</v>
      </c>
      <c r="G147" s="66">
        <f>IFERROR(VLOOKUP($B147,Tipologias!$A$4:$V$8,6,0),"")</f>
        <v>2</v>
      </c>
      <c r="H147" s="67">
        <f>IFERROR(VLOOKUP($B147,Tipologias!$A$4:$V$8,9,0),"")</f>
        <v>94.789</v>
      </c>
      <c r="I147" s="67">
        <f>IFERROR(VLOOKUP($B147,Tipologias!$A$4:$V$8,10,0),"")</f>
        <v>83.65</v>
      </c>
      <c r="J147" s="67">
        <f>IFERROR(VLOOKUP($B147,Tipologias!$A$4:$V$8,16,0),"")</f>
        <v>195.564</v>
      </c>
      <c r="K147" s="63" t="s">
        <v>105</v>
      </c>
      <c r="L147" s="68"/>
      <c r="M147" s="69" t="str">
        <f>IFERROR(VLOOKUP($B147,Tipologias!$A$4:$V$8,19,0),"")</f>
        <v/>
      </c>
      <c r="N147" s="69" t="str">
        <f t="shared" si="1"/>
        <v/>
      </c>
      <c r="O147" s="69"/>
      <c r="P147" s="68"/>
      <c r="Q147" s="91" t="s">
        <v>525</v>
      </c>
      <c r="R147" s="59"/>
      <c r="S147" s="59"/>
      <c r="T147" s="59"/>
    </row>
    <row r="148" ht="15.75" customHeight="1">
      <c r="A148" s="90" t="s">
        <v>526</v>
      </c>
      <c r="B148" s="62" t="s">
        <v>170</v>
      </c>
      <c r="C148" s="63" t="s">
        <v>484</v>
      </c>
      <c r="D148" s="63">
        <v>1.0</v>
      </c>
      <c r="E148" s="63" t="s">
        <v>57</v>
      </c>
      <c r="F148" s="66">
        <f>IFERROR(VLOOKUP($B148,Tipologias!$A$4:$V$8,5,0),"")</f>
        <v>2</v>
      </c>
      <c r="G148" s="66">
        <f>IFERROR(VLOOKUP($B148,Tipologias!$A$4:$V$8,6,0),"")</f>
        <v>2</v>
      </c>
      <c r="H148" s="67">
        <f>IFERROR(VLOOKUP($B148,Tipologias!$A$4:$V$8,9,0),"")</f>
        <v>94.789</v>
      </c>
      <c r="I148" s="67">
        <f>IFERROR(VLOOKUP($B148,Tipologias!$A$4:$V$8,10,0),"")</f>
        <v>83.65</v>
      </c>
      <c r="J148" s="67">
        <f>IFERROR(VLOOKUP($B148,Tipologias!$A$4:$V$8,16,0),"")</f>
        <v>195.564</v>
      </c>
      <c r="K148" s="63" t="s">
        <v>105</v>
      </c>
      <c r="L148" s="68"/>
      <c r="M148" s="69" t="str">
        <f>IFERROR(VLOOKUP($B148,Tipologias!$A$4:$V$8,19,0),"")</f>
        <v/>
      </c>
      <c r="N148" s="69" t="str">
        <f t="shared" si="1"/>
        <v/>
      </c>
      <c r="O148" s="69"/>
      <c r="P148" s="68"/>
      <c r="Q148" s="91" t="s">
        <v>527</v>
      </c>
      <c r="R148" s="59"/>
      <c r="S148" s="59"/>
      <c r="T148" s="59"/>
    </row>
    <row r="149" ht="15.75" customHeight="1">
      <c r="A149" s="90" t="s">
        <v>528</v>
      </c>
      <c r="B149" s="62" t="s">
        <v>170</v>
      </c>
      <c r="C149" s="63" t="s">
        <v>484</v>
      </c>
      <c r="D149" s="63">
        <v>1.0</v>
      </c>
      <c r="E149" s="63" t="s">
        <v>57</v>
      </c>
      <c r="F149" s="66">
        <f>IFERROR(VLOOKUP($B149,Tipologias!$A$4:$V$8,5,0),"")</f>
        <v>2</v>
      </c>
      <c r="G149" s="66">
        <f>IFERROR(VLOOKUP($B149,Tipologias!$A$4:$V$8,6,0),"")</f>
        <v>2</v>
      </c>
      <c r="H149" s="67">
        <f>IFERROR(VLOOKUP($B149,Tipologias!$A$4:$V$8,9,0),"")</f>
        <v>94.789</v>
      </c>
      <c r="I149" s="67">
        <f>IFERROR(VLOOKUP($B149,Tipologias!$A$4:$V$8,10,0),"")</f>
        <v>83.65</v>
      </c>
      <c r="J149" s="67">
        <f>IFERROR(VLOOKUP($B149,Tipologias!$A$4:$V$8,16,0),"")</f>
        <v>195.564</v>
      </c>
      <c r="K149" s="63" t="s">
        <v>105</v>
      </c>
      <c r="L149" s="68"/>
      <c r="M149" s="69" t="str">
        <f>IFERROR(VLOOKUP($B149,Tipologias!$A$4:$V$8,19,0),"")</f>
        <v/>
      </c>
      <c r="N149" s="69" t="str">
        <f t="shared" si="1"/>
        <v/>
      </c>
      <c r="O149" s="69"/>
      <c r="P149" s="68"/>
      <c r="Q149" s="91" t="s">
        <v>529</v>
      </c>
      <c r="R149" s="59"/>
      <c r="S149" s="59"/>
      <c r="T149" s="59"/>
    </row>
    <row r="150" ht="15.75" customHeight="1">
      <c r="A150" s="90" t="s">
        <v>530</v>
      </c>
      <c r="B150" s="62" t="s">
        <v>170</v>
      </c>
      <c r="C150" s="63" t="s">
        <v>484</v>
      </c>
      <c r="D150" s="63">
        <v>1.0</v>
      </c>
      <c r="E150" s="63" t="s">
        <v>57</v>
      </c>
      <c r="F150" s="66">
        <f>IFERROR(VLOOKUP($B150,Tipologias!$A$4:$V$8,5,0),"")</f>
        <v>2</v>
      </c>
      <c r="G150" s="66">
        <f>IFERROR(VLOOKUP($B150,Tipologias!$A$4:$V$8,6,0),"")</f>
        <v>2</v>
      </c>
      <c r="H150" s="67">
        <f>IFERROR(VLOOKUP($B150,Tipologias!$A$4:$V$8,9,0),"")</f>
        <v>94.789</v>
      </c>
      <c r="I150" s="67">
        <f>IFERROR(VLOOKUP($B150,Tipologias!$A$4:$V$8,10,0),"")</f>
        <v>83.65</v>
      </c>
      <c r="J150" s="67">
        <f>IFERROR(VLOOKUP($B150,Tipologias!$A$4:$V$8,16,0),"")</f>
        <v>195.564</v>
      </c>
      <c r="K150" s="63" t="s">
        <v>105</v>
      </c>
      <c r="L150" s="68"/>
      <c r="M150" s="69" t="str">
        <f>IFERROR(VLOOKUP($B150,Tipologias!$A$4:$V$8,19,0),"")</f>
        <v/>
      </c>
      <c r="N150" s="69" t="str">
        <f t="shared" si="1"/>
        <v/>
      </c>
      <c r="O150" s="69"/>
      <c r="P150" s="68"/>
      <c r="Q150" s="91" t="s">
        <v>531</v>
      </c>
      <c r="R150" s="59"/>
      <c r="S150" s="59"/>
      <c r="T150" s="59"/>
    </row>
    <row r="151" ht="15.75" customHeight="1">
      <c r="A151" s="90" t="s">
        <v>532</v>
      </c>
      <c r="B151" s="62" t="s">
        <v>170</v>
      </c>
      <c r="C151" s="63" t="s">
        <v>484</v>
      </c>
      <c r="D151" s="63">
        <v>1.0</v>
      </c>
      <c r="E151" s="63" t="s">
        <v>57</v>
      </c>
      <c r="F151" s="66">
        <f>IFERROR(VLOOKUP($B151,Tipologias!$A$4:$V$8,5,0),"")</f>
        <v>2</v>
      </c>
      <c r="G151" s="66">
        <f>IFERROR(VLOOKUP($B151,Tipologias!$A$4:$V$8,6,0),"")</f>
        <v>2</v>
      </c>
      <c r="H151" s="67">
        <f>IFERROR(VLOOKUP($B151,Tipologias!$A$4:$V$8,9,0),"")</f>
        <v>94.789</v>
      </c>
      <c r="I151" s="67">
        <f>IFERROR(VLOOKUP($B151,Tipologias!$A$4:$V$8,10,0),"")</f>
        <v>83.65</v>
      </c>
      <c r="J151" s="67">
        <f>IFERROR(VLOOKUP($B151,Tipologias!$A$4:$V$8,16,0),"")</f>
        <v>195.564</v>
      </c>
      <c r="K151" s="63" t="s">
        <v>105</v>
      </c>
      <c r="L151" s="68"/>
      <c r="M151" s="69" t="str">
        <f>IFERROR(VLOOKUP($B151,Tipologias!$A$4:$V$8,19,0),"")</f>
        <v/>
      </c>
      <c r="N151" s="69" t="str">
        <f t="shared" si="1"/>
        <v/>
      </c>
      <c r="O151" s="69"/>
      <c r="P151" s="68"/>
      <c r="Q151" s="91" t="s">
        <v>533</v>
      </c>
      <c r="R151" s="59"/>
      <c r="S151" s="59"/>
      <c r="T151" s="59"/>
    </row>
    <row r="152" ht="15.75" customHeight="1">
      <c r="A152" s="90" t="s">
        <v>534</v>
      </c>
      <c r="B152" s="62" t="s">
        <v>170</v>
      </c>
      <c r="C152" s="63" t="s">
        <v>484</v>
      </c>
      <c r="D152" s="63">
        <v>1.0</v>
      </c>
      <c r="E152" s="63" t="s">
        <v>57</v>
      </c>
      <c r="F152" s="66">
        <f>IFERROR(VLOOKUP($B152,Tipologias!$A$4:$V$8,5,0),"")</f>
        <v>2</v>
      </c>
      <c r="G152" s="66">
        <f>IFERROR(VLOOKUP($B152,Tipologias!$A$4:$V$8,6,0),"")</f>
        <v>2</v>
      </c>
      <c r="H152" s="67">
        <f>IFERROR(VLOOKUP($B152,Tipologias!$A$4:$V$8,9,0),"")</f>
        <v>94.789</v>
      </c>
      <c r="I152" s="67">
        <f>IFERROR(VLOOKUP($B152,Tipologias!$A$4:$V$8,10,0),"")</f>
        <v>83.65</v>
      </c>
      <c r="J152" s="67">
        <f>IFERROR(VLOOKUP($B152,Tipologias!$A$4:$V$8,16,0),"")</f>
        <v>195.564</v>
      </c>
      <c r="K152" s="63" t="s">
        <v>105</v>
      </c>
      <c r="L152" s="68"/>
      <c r="M152" s="69" t="str">
        <f>IFERROR(VLOOKUP($B152,Tipologias!$A$4:$V$8,19,0),"")</f>
        <v/>
      </c>
      <c r="N152" s="69" t="str">
        <f t="shared" si="1"/>
        <v/>
      </c>
      <c r="O152" s="69"/>
      <c r="P152" s="68"/>
      <c r="Q152" s="91" t="s">
        <v>535</v>
      </c>
      <c r="R152" s="59"/>
      <c r="S152" s="59"/>
      <c r="T152" s="59"/>
    </row>
    <row r="153" ht="15.75" customHeight="1">
      <c r="A153" s="90" t="s">
        <v>536</v>
      </c>
      <c r="B153" s="62" t="s">
        <v>170</v>
      </c>
      <c r="C153" s="63" t="s">
        <v>484</v>
      </c>
      <c r="D153" s="63">
        <v>1.0</v>
      </c>
      <c r="E153" s="63" t="s">
        <v>57</v>
      </c>
      <c r="F153" s="66">
        <f>IFERROR(VLOOKUP($B153,Tipologias!$A$4:$V$8,5,0),"")</f>
        <v>2</v>
      </c>
      <c r="G153" s="66">
        <f>IFERROR(VLOOKUP($B153,Tipologias!$A$4:$V$8,6,0),"")</f>
        <v>2</v>
      </c>
      <c r="H153" s="67">
        <f>IFERROR(VLOOKUP($B153,Tipologias!$A$4:$V$8,9,0),"")</f>
        <v>94.789</v>
      </c>
      <c r="I153" s="67">
        <f>IFERROR(VLOOKUP($B153,Tipologias!$A$4:$V$8,10,0),"")</f>
        <v>83.65</v>
      </c>
      <c r="J153" s="67">
        <f>IFERROR(VLOOKUP($B153,Tipologias!$A$4:$V$8,16,0),"")</f>
        <v>195.564</v>
      </c>
      <c r="K153" s="63" t="s">
        <v>105</v>
      </c>
      <c r="L153" s="68"/>
      <c r="M153" s="69" t="str">
        <f>IFERROR(VLOOKUP($B153,Tipologias!$A$4:$V$8,19,0),"")</f>
        <v/>
      </c>
      <c r="N153" s="69" t="str">
        <f t="shared" si="1"/>
        <v/>
      </c>
      <c r="O153" s="69"/>
      <c r="P153" s="68"/>
      <c r="Q153" s="91" t="s">
        <v>537</v>
      </c>
      <c r="R153" s="59"/>
      <c r="S153" s="59"/>
      <c r="T153" s="59"/>
    </row>
    <row r="154" ht="15.75" customHeight="1">
      <c r="A154" s="90" t="s">
        <v>538</v>
      </c>
      <c r="B154" s="62" t="s">
        <v>170</v>
      </c>
      <c r="C154" s="63" t="s">
        <v>484</v>
      </c>
      <c r="D154" s="63">
        <v>1.0</v>
      </c>
      <c r="E154" s="63" t="s">
        <v>57</v>
      </c>
      <c r="F154" s="66">
        <f>IFERROR(VLOOKUP($B154,Tipologias!$A$4:$V$8,5,0),"")</f>
        <v>2</v>
      </c>
      <c r="G154" s="66">
        <f>IFERROR(VLOOKUP($B154,Tipologias!$A$4:$V$8,6,0),"")</f>
        <v>2</v>
      </c>
      <c r="H154" s="67">
        <f>IFERROR(VLOOKUP($B154,Tipologias!$A$4:$V$8,9,0),"")</f>
        <v>94.789</v>
      </c>
      <c r="I154" s="67">
        <f>IFERROR(VLOOKUP($B154,Tipologias!$A$4:$V$8,10,0),"")</f>
        <v>83.65</v>
      </c>
      <c r="J154" s="67">
        <f>IFERROR(VLOOKUP($B154,Tipologias!$A$4:$V$8,16,0),"")</f>
        <v>195.564</v>
      </c>
      <c r="K154" s="63" t="s">
        <v>105</v>
      </c>
      <c r="L154" s="68"/>
      <c r="M154" s="69" t="str">
        <f>IFERROR(VLOOKUP($B154,Tipologias!$A$4:$V$8,19,0),"")</f>
        <v/>
      </c>
      <c r="N154" s="69" t="str">
        <f t="shared" si="1"/>
        <v/>
      </c>
      <c r="O154" s="69"/>
      <c r="P154" s="68"/>
      <c r="Q154" s="91" t="s">
        <v>539</v>
      </c>
      <c r="R154" s="59"/>
      <c r="S154" s="59"/>
      <c r="T154" s="59"/>
    </row>
    <row r="155" ht="15.75" customHeight="1">
      <c r="A155" s="90" t="s">
        <v>540</v>
      </c>
      <c r="B155" s="62" t="s">
        <v>170</v>
      </c>
      <c r="C155" s="63" t="s">
        <v>484</v>
      </c>
      <c r="D155" s="63">
        <v>1.0</v>
      </c>
      <c r="E155" s="63" t="s">
        <v>57</v>
      </c>
      <c r="F155" s="66">
        <f>IFERROR(VLOOKUP($B155,Tipologias!$A$4:$V$8,5,0),"")</f>
        <v>2</v>
      </c>
      <c r="G155" s="66">
        <f>IFERROR(VLOOKUP($B155,Tipologias!$A$4:$V$8,6,0),"")</f>
        <v>2</v>
      </c>
      <c r="H155" s="67">
        <f>IFERROR(VLOOKUP($B155,Tipologias!$A$4:$V$8,9,0),"")</f>
        <v>94.789</v>
      </c>
      <c r="I155" s="67">
        <f>IFERROR(VLOOKUP($B155,Tipologias!$A$4:$V$8,10,0),"")</f>
        <v>83.65</v>
      </c>
      <c r="J155" s="67">
        <f>IFERROR(VLOOKUP($B155,Tipologias!$A$4:$V$8,16,0),"")</f>
        <v>195.564</v>
      </c>
      <c r="K155" s="63" t="s">
        <v>105</v>
      </c>
      <c r="L155" s="68"/>
      <c r="M155" s="69" t="str">
        <f>IFERROR(VLOOKUP($B155,Tipologias!$A$4:$V$8,19,0),"")</f>
        <v/>
      </c>
      <c r="N155" s="69" t="str">
        <f t="shared" si="1"/>
        <v/>
      </c>
      <c r="O155" s="69"/>
      <c r="P155" s="68"/>
      <c r="Q155" s="91" t="s">
        <v>541</v>
      </c>
      <c r="R155" s="59"/>
      <c r="S155" s="59"/>
      <c r="T155" s="59"/>
    </row>
    <row r="156" ht="15.75" customHeight="1">
      <c r="A156" s="90" t="s">
        <v>542</v>
      </c>
      <c r="B156" s="62" t="s">
        <v>170</v>
      </c>
      <c r="C156" s="63" t="s">
        <v>484</v>
      </c>
      <c r="D156" s="63">
        <v>1.0</v>
      </c>
      <c r="E156" s="63" t="s">
        <v>57</v>
      </c>
      <c r="F156" s="66">
        <f>IFERROR(VLOOKUP($B156,Tipologias!$A$4:$V$8,5,0),"")</f>
        <v>2</v>
      </c>
      <c r="G156" s="66">
        <f>IFERROR(VLOOKUP($B156,Tipologias!$A$4:$V$8,6,0),"")</f>
        <v>2</v>
      </c>
      <c r="H156" s="67">
        <f>IFERROR(VLOOKUP($B156,Tipologias!$A$4:$V$8,9,0),"")</f>
        <v>94.789</v>
      </c>
      <c r="I156" s="67">
        <f>IFERROR(VLOOKUP($B156,Tipologias!$A$4:$V$8,10,0),"")</f>
        <v>83.65</v>
      </c>
      <c r="J156" s="67">
        <f>IFERROR(VLOOKUP($B156,Tipologias!$A$4:$V$8,16,0),"")</f>
        <v>195.564</v>
      </c>
      <c r="K156" s="63" t="s">
        <v>105</v>
      </c>
      <c r="L156" s="68"/>
      <c r="M156" s="69" t="str">
        <f>IFERROR(VLOOKUP($B156,Tipologias!$A$4:$V$8,19,0),"")</f>
        <v/>
      </c>
      <c r="N156" s="69" t="str">
        <f t="shared" si="1"/>
        <v/>
      </c>
      <c r="O156" s="69"/>
      <c r="P156" s="68"/>
      <c r="Q156" s="91" t="s">
        <v>543</v>
      </c>
      <c r="R156" s="59"/>
      <c r="S156" s="59"/>
      <c r="T156" s="59"/>
    </row>
    <row r="157" ht="15.75" customHeight="1">
      <c r="A157" s="90" t="s">
        <v>544</v>
      </c>
      <c r="B157" s="62" t="s">
        <v>184</v>
      </c>
      <c r="C157" s="63" t="s">
        <v>545</v>
      </c>
      <c r="D157" s="63">
        <v>2.0</v>
      </c>
      <c r="E157" s="63" t="s">
        <v>57</v>
      </c>
      <c r="F157" s="66">
        <f>IFERROR(VLOOKUP($B157,Tipologias!$A$4:$V$8,5,0),"")</f>
        <v>3</v>
      </c>
      <c r="G157" s="66">
        <f>IFERROR(VLOOKUP($B157,Tipologias!$A$4:$V$8,6,0),"")</f>
        <v>3</v>
      </c>
      <c r="H157" s="67">
        <f>IFERROR(VLOOKUP($B157,Tipologias!$A$4:$V$8,9,0),"")</f>
        <v>130.044</v>
      </c>
      <c r="I157" s="67">
        <f>IFERROR(VLOOKUP($B157,Tipologias!$A$4:$V$8,10,0),"")</f>
        <v>91.53</v>
      </c>
      <c r="J157" s="67">
        <f>IFERROR(VLOOKUP($B157,Tipologias!$A$4:$V$8,16,0),"")</f>
        <v>238.624</v>
      </c>
      <c r="K157" s="63" t="s">
        <v>105</v>
      </c>
      <c r="L157" s="68"/>
      <c r="M157" s="69" t="str">
        <f>IFERROR(VLOOKUP($B157,Tipologias!$A$4:$V$8,19,0),"")</f>
        <v/>
      </c>
      <c r="N157" s="69" t="str">
        <f t="shared" si="1"/>
        <v/>
      </c>
      <c r="O157" s="69"/>
      <c r="P157" s="68"/>
      <c r="Q157" s="92" t="s">
        <v>546</v>
      </c>
    </row>
    <row r="158" ht="15.75" customHeight="1">
      <c r="A158" s="90" t="s">
        <v>547</v>
      </c>
      <c r="B158" s="62" t="s">
        <v>184</v>
      </c>
      <c r="C158" s="63" t="s">
        <v>545</v>
      </c>
      <c r="D158" s="63">
        <v>2.0</v>
      </c>
      <c r="E158" s="63" t="s">
        <v>57</v>
      </c>
      <c r="F158" s="66">
        <f>IFERROR(VLOOKUP($B158,Tipologias!$A$4:$V$8,5,0),"")</f>
        <v>3</v>
      </c>
      <c r="G158" s="66">
        <f>IFERROR(VLOOKUP($B158,Tipologias!$A$4:$V$8,6,0),"")</f>
        <v>3</v>
      </c>
      <c r="H158" s="67">
        <f>IFERROR(VLOOKUP($B158,Tipologias!$A$4:$V$8,9,0),"")</f>
        <v>130.044</v>
      </c>
      <c r="I158" s="67">
        <f>IFERROR(VLOOKUP($B158,Tipologias!$A$4:$V$8,10,0),"")</f>
        <v>91.53</v>
      </c>
      <c r="J158" s="67">
        <f>IFERROR(VLOOKUP($B158,Tipologias!$A$4:$V$8,16,0),"")</f>
        <v>238.624</v>
      </c>
      <c r="K158" s="63" t="s">
        <v>105</v>
      </c>
      <c r="L158" s="68"/>
      <c r="M158" s="69" t="str">
        <f>IFERROR(VLOOKUP($B158,Tipologias!$A$4:$V$8,19,0),"")</f>
        <v/>
      </c>
      <c r="N158" s="69" t="str">
        <f t="shared" si="1"/>
        <v/>
      </c>
      <c r="O158" s="69"/>
      <c r="P158" s="68"/>
      <c r="Q158" s="92" t="s">
        <v>548</v>
      </c>
    </row>
    <row r="159" ht="15.75" customHeight="1">
      <c r="A159" s="90" t="s">
        <v>549</v>
      </c>
      <c r="B159" s="62" t="s">
        <v>184</v>
      </c>
      <c r="C159" s="63" t="s">
        <v>545</v>
      </c>
      <c r="D159" s="63">
        <v>2.0</v>
      </c>
      <c r="E159" s="63" t="s">
        <v>57</v>
      </c>
      <c r="F159" s="66">
        <f>IFERROR(VLOOKUP($B159,Tipologias!$A$4:$V$8,5,0),"")</f>
        <v>3</v>
      </c>
      <c r="G159" s="66">
        <f>IFERROR(VLOOKUP($B159,Tipologias!$A$4:$V$8,6,0),"")</f>
        <v>3</v>
      </c>
      <c r="H159" s="67">
        <f>IFERROR(VLOOKUP($B159,Tipologias!$A$4:$V$8,9,0),"")</f>
        <v>130.044</v>
      </c>
      <c r="I159" s="67">
        <f>IFERROR(VLOOKUP($B159,Tipologias!$A$4:$V$8,10,0),"")</f>
        <v>91.53</v>
      </c>
      <c r="J159" s="67">
        <f>IFERROR(VLOOKUP($B159,Tipologias!$A$4:$V$8,16,0),"")</f>
        <v>238.624</v>
      </c>
      <c r="K159" s="63" t="s">
        <v>105</v>
      </c>
      <c r="L159" s="68"/>
      <c r="M159" s="69" t="str">
        <f>IFERROR(VLOOKUP($B159,Tipologias!$A$4:$V$8,19,0),"")</f>
        <v/>
      </c>
      <c r="N159" s="69" t="str">
        <f t="shared" si="1"/>
        <v/>
      </c>
      <c r="O159" s="69"/>
      <c r="P159" s="68"/>
      <c r="Q159" s="91" t="s">
        <v>550</v>
      </c>
    </row>
    <row r="160" ht="15.75" customHeight="1">
      <c r="A160" s="90" t="s">
        <v>551</v>
      </c>
      <c r="B160" s="62" t="s">
        <v>184</v>
      </c>
      <c r="C160" s="63" t="s">
        <v>545</v>
      </c>
      <c r="D160" s="63">
        <v>2.0</v>
      </c>
      <c r="E160" s="63" t="s">
        <v>57</v>
      </c>
      <c r="F160" s="66">
        <f>IFERROR(VLOOKUP($B160,Tipologias!$A$4:$V$8,5,0),"")</f>
        <v>3</v>
      </c>
      <c r="G160" s="66">
        <f>IFERROR(VLOOKUP($B160,Tipologias!$A$4:$V$8,6,0),"")</f>
        <v>3</v>
      </c>
      <c r="H160" s="67">
        <f>IFERROR(VLOOKUP($B160,Tipologias!$A$4:$V$8,9,0),"")</f>
        <v>130.044</v>
      </c>
      <c r="I160" s="67">
        <f>IFERROR(VLOOKUP($B160,Tipologias!$A$4:$V$8,10,0),"")</f>
        <v>91.53</v>
      </c>
      <c r="J160" s="67">
        <f>IFERROR(VLOOKUP($B160,Tipologias!$A$4:$V$8,16,0),"")</f>
        <v>238.624</v>
      </c>
      <c r="K160" s="63" t="s">
        <v>105</v>
      </c>
      <c r="L160" s="68"/>
      <c r="M160" s="69" t="str">
        <f>IFERROR(VLOOKUP($B160,Tipologias!$A$4:$V$8,19,0),"")</f>
        <v/>
      </c>
      <c r="N160" s="69" t="str">
        <f t="shared" si="1"/>
        <v/>
      </c>
      <c r="O160" s="69"/>
      <c r="P160" s="68"/>
      <c r="Q160" s="91" t="s">
        <v>552</v>
      </c>
    </row>
    <row r="161" ht="15.75" customHeight="1">
      <c r="A161" s="90" t="s">
        <v>553</v>
      </c>
      <c r="B161" s="62" t="s">
        <v>184</v>
      </c>
      <c r="C161" s="63" t="s">
        <v>545</v>
      </c>
      <c r="D161" s="63">
        <v>2.0</v>
      </c>
      <c r="E161" s="63" t="s">
        <v>57</v>
      </c>
      <c r="F161" s="66">
        <f>IFERROR(VLOOKUP($B161,Tipologias!$A$4:$V$8,5,0),"")</f>
        <v>3</v>
      </c>
      <c r="G161" s="66">
        <f>IFERROR(VLOOKUP($B161,Tipologias!$A$4:$V$8,6,0),"")</f>
        <v>3</v>
      </c>
      <c r="H161" s="67">
        <f>IFERROR(VLOOKUP($B161,Tipologias!$A$4:$V$8,9,0),"")</f>
        <v>130.044</v>
      </c>
      <c r="I161" s="67">
        <f>IFERROR(VLOOKUP($B161,Tipologias!$A$4:$V$8,10,0),"")</f>
        <v>91.53</v>
      </c>
      <c r="J161" s="67">
        <f>IFERROR(VLOOKUP($B161,Tipologias!$A$4:$V$8,16,0),"")</f>
        <v>238.624</v>
      </c>
      <c r="K161" s="63" t="s">
        <v>105</v>
      </c>
      <c r="L161" s="68"/>
      <c r="M161" s="69" t="str">
        <f>IFERROR(VLOOKUP($B161,Tipologias!$A$4:$V$8,19,0),"")</f>
        <v/>
      </c>
      <c r="N161" s="69" t="str">
        <f t="shared" si="1"/>
        <v/>
      </c>
      <c r="O161" s="69"/>
      <c r="P161" s="68"/>
      <c r="Q161" s="92" t="s">
        <v>554</v>
      </c>
    </row>
    <row r="162" ht="15.75" customHeight="1">
      <c r="A162" s="90" t="s">
        <v>555</v>
      </c>
      <c r="B162" s="62" t="s">
        <v>184</v>
      </c>
      <c r="C162" s="63" t="s">
        <v>545</v>
      </c>
      <c r="D162" s="63">
        <v>2.0</v>
      </c>
      <c r="E162" s="63" t="s">
        <v>57</v>
      </c>
      <c r="F162" s="66">
        <f>IFERROR(VLOOKUP($B162,Tipologias!$A$4:$V$8,5,0),"")</f>
        <v>3</v>
      </c>
      <c r="G162" s="66">
        <f>IFERROR(VLOOKUP($B162,Tipologias!$A$4:$V$8,6,0),"")</f>
        <v>3</v>
      </c>
      <c r="H162" s="67">
        <f>IFERROR(VLOOKUP($B162,Tipologias!$A$4:$V$8,9,0),"")</f>
        <v>130.044</v>
      </c>
      <c r="I162" s="67">
        <f>IFERROR(VLOOKUP($B162,Tipologias!$A$4:$V$8,10,0),"")</f>
        <v>91.53</v>
      </c>
      <c r="J162" s="67">
        <f>IFERROR(VLOOKUP($B162,Tipologias!$A$4:$V$8,16,0),"")</f>
        <v>238.624</v>
      </c>
      <c r="K162" s="63" t="s">
        <v>105</v>
      </c>
      <c r="L162" s="68"/>
      <c r="M162" s="69" t="str">
        <f>IFERROR(VLOOKUP($B162,Tipologias!$A$4:$V$8,19,0),"")</f>
        <v/>
      </c>
      <c r="N162" s="69" t="str">
        <f t="shared" si="1"/>
        <v/>
      </c>
      <c r="O162" s="69"/>
      <c r="P162" s="68"/>
      <c r="Q162" s="92" t="s">
        <v>556</v>
      </c>
    </row>
    <row r="163" ht="15.75" customHeight="1">
      <c r="A163" s="90" t="s">
        <v>557</v>
      </c>
      <c r="B163" s="62" t="s">
        <v>184</v>
      </c>
      <c r="C163" s="63" t="s">
        <v>545</v>
      </c>
      <c r="D163" s="63">
        <v>2.0</v>
      </c>
      <c r="E163" s="63" t="s">
        <v>57</v>
      </c>
      <c r="F163" s="66">
        <f>IFERROR(VLOOKUP($B163,Tipologias!$A$4:$V$8,5,0),"")</f>
        <v>3</v>
      </c>
      <c r="G163" s="66">
        <f>IFERROR(VLOOKUP($B163,Tipologias!$A$4:$V$8,6,0),"")</f>
        <v>3</v>
      </c>
      <c r="H163" s="67">
        <f>IFERROR(VLOOKUP($B163,Tipologias!$A$4:$V$8,9,0),"")</f>
        <v>130.044</v>
      </c>
      <c r="I163" s="67">
        <f>IFERROR(VLOOKUP($B163,Tipologias!$A$4:$V$8,10,0),"")</f>
        <v>91.53</v>
      </c>
      <c r="J163" s="67">
        <f>IFERROR(VLOOKUP($B163,Tipologias!$A$4:$V$8,16,0),"")</f>
        <v>238.624</v>
      </c>
      <c r="K163" s="63" t="s">
        <v>105</v>
      </c>
      <c r="L163" s="68"/>
      <c r="M163" s="69" t="str">
        <f>IFERROR(VLOOKUP($B163,Tipologias!$A$4:$V$8,19,0),"")</f>
        <v/>
      </c>
      <c r="N163" s="69" t="str">
        <f t="shared" si="1"/>
        <v/>
      </c>
      <c r="O163" s="69"/>
      <c r="P163" s="68"/>
      <c r="Q163" s="92" t="s">
        <v>558</v>
      </c>
    </row>
    <row r="164" ht="15.75" customHeight="1">
      <c r="A164" s="90" t="s">
        <v>559</v>
      </c>
      <c r="B164" s="62" t="s">
        <v>184</v>
      </c>
      <c r="C164" s="63" t="s">
        <v>545</v>
      </c>
      <c r="D164" s="63">
        <v>2.0</v>
      </c>
      <c r="E164" s="63" t="s">
        <v>57</v>
      </c>
      <c r="F164" s="66">
        <f>IFERROR(VLOOKUP($B164,Tipologias!$A$4:$V$8,5,0),"")</f>
        <v>3</v>
      </c>
      <c r="G164" s="66">
        <f>IFERROR(VLOOKUP($B164,Tipologias!$A$4:$V$8,6,0),"")</f>
        <v>3</v>
      </c>
      <c r="H164" s="67">
        <f>IFERROR(VLOOKUP($B164,Tipologias!$A$4:$V$8,9,0),"")</f>
        <v>130.044</v>
      </c>
      <c r="I164" s="67">
        <f>IFERROR(VLOOKUP($B164,Tipologias!$A$4:$V$8,10,0),"")</f>
        <v>91.53</v>
      </c>
      <c r="J164" s="67">
        <f>IFERROR(VLOOKUP($B164,Tipologias!$A$4:$V$8,16,0),"")</f>
        <v>238.624</v>
      </c>
      <c r="K164" s="63" t="s">
        <v>105</v>
      </c>
      <c r="L164" s="68"/>
      <c r="M164" s="69" t="str">
        <f>IFERROR(VLOOKUP($B164,Tipologias!$A$4:$V$8,19,0),"")</f>
        <v/>
      </c>
      <c r="N164" s="69" t="str">
        <f t="shared" si="1"/>
        <v/>
      </c>
      <c r="O164" s="69"/>
      <c r="P164" s="68"/>
      <c r="Q164" s="91" t="s">
        <v>560</v>
      </c>
    </row>
    <row r="165" ht="15.75" customHeight="1">
      <c r="A165" s="90" t="s">
        <v>561</v>
      </c>
      <c r="B165" s="62" t="s">
        <v>184</v>
      </c>
      <c r="C165" s="63" t="s">
        <v>545</v>
      </c>
      <c r="D165" s="63">
        <v>2.0</v>
      </c>
      <c r="E165" s="63" t="s">
        <v>57</v>
      </c>
      <c r="F165" s="66">
        <f>IFERROR(VLOOKUP($B165,Tipologias!$A$4:$V$8,5,0),"")</f>
        <v>3</v>
      </c>
      <c r="G165" s="66">
        <f>IFERROR(VLOOKUP($B165,Tipologias!$A$4:$V$8,6,0),"")</f>
        <v>3</v>
      </c>
      <c r="H165" s="67">
        <f>IFERROR(VLOOKUP($B165,Tipologias!$A$4:$V$8,9,0),"")</f>
        <v>130.044</v>
      </c>
      <c r="I165" s="67">
        <f>IFERROR(VLOOKUP($B165,Tipologias!$A$4:$V$8,10,0),"")</f>
        <v>91.53</v>
      </c>
      <c r="J165" s="67">
        <f>IFERROR(VLOOKUP($B165,Tipologias!$A$4:$V$8,16,0),"")</f>
        <v>238.624</v>
      </c>
      <c r="K165" s="63" t="s">
        <v>105</v>
      </c>
      <c r="L165" s="68"/>
      <c r="M165" s="69" t="str">
        <f>IFERROR(VLOOKUP($B165,Tipologias!$A$4:$V$8,19,0),"")</f>
        <v/>
      </c>
      <c r="N165" s="69" t="str">
        <f t="shared" si="1"/>
        <v/>
      </c>
      <c r="O165" s="69"/>
      <c r="P165" s="68"/>
      <c r="Q165" s="91" t="s">
        <v>562</v>
      </c>
    </row>
    <row r="166" ht="15.75" customHeight="1">
      <c r="A166" s="90" t="s">
        <v>563</v>
      </c>
      <c r="B166" s="62" t="s">
        <v>184</v>
      </c>
      <c r="C166" s="63" t="s">
        <v>545</v>
      </c>
      <c r="D166" s="63">
        <v>2.0</v>
      </c>
      <c r="E166" s="63" t="s">
        <v>57</v>
      </c>
      <c r="F166" s="66">
        <f>IFERROR(VLOOKUP($B166,Tipologias!$A$4:$V$8,5,0),"")</f>
        <v>3</v>
      </c>
      <c r="G166" s="66">
        <f>IFERROR(VLOOKUP($B166,Tipologias!$A$4:$V$8,6,0),"")</f>
        <v>3</v>
      </c>
      <c r="H166" s="67">
        <f>IFERROR(VLOOKUP($B166,Tipologias!$A$4:$V$8,9,0),"")</f>
        <v>130.044</v>
      </c>
      <c r="I166" s="67">
        <f>IFERROR(VLOOKUP($B166,Tipologias!$A$4:$V$8,10,0),"")</f>
        <v>91.53</v>
      </c>
      <c r="J166" s="67">
        <f>IFERROR(VLOOKUP($B166,Tipologias!$A$4:$V$8,16,0),"")</f>
        <v>238.624</v>
      </c>
      <c r="K166" s="63" t="s">
        <v>105</v>
      </c>
      <c r="L166" s="68"/>
      <c r="M166" s="69" t="str">
        <f>IFERROR(VLOOKUP($B166,Tipologias!$A$4:$V$8,19,0),"")</f>
        <v/>
      </c>
      <c r="N166" s="69" t="str">
        <f t="shared" si="1"/>
        <v/>
      </c>
      <c r="O166" s="69"/>
      <c r="P166" s="68"/>
      <c r="Q166" s="92" t="s">
        <v>564</v>
      </c>
    </row>
    <row r="167" ht="15.75" customHeight="1">
      <c r="A167" s="90" t="s">
        <v>565</v>
      </c>
      <c r="B167" s="62" t="s">
        <v>184</v>
      </c>
      <c r="C167" s="63" t="s">
        <v>545</v>
      </c>
      <c r="D167" s="63">
        <v>2.0</v>
      </c>
      <c r="E167" s="63" t="s">
        <v>57</v>
      </c>
      <c r="F167" s="66">
        <f>IFERROR(VLOOKUP($B167,Tipologias!$A$4:$V$8,5,0),"")</f>
        <v>3</v>
      </c>
      <c r="G167" s="66">
        <f>IFERROR(VLOOKUP($B167,Tipologias!$A$4:$V$8,6,0),"")</f>
        <v>3</v>
      </c>
      <c r="H167" s="67">
        <f>IFERROR(VLOOKUP($B167,Tipologias!$A$4:$V$8,9,0),"")</f>
        <v>130.044</v>
      </c>
      <c r="I167" s="67">
        <f>IFERROR(VLOOKUP($B167,Tipologias!$A$4:$V$8,10,0),"")</f>
        <v>91.53</v>
      </c>
      <c r="J167" s="67">
        <f>IFERROR(VLOOKUP($B167,Tipologias!$A$4:$V$8,16,0),"")</f>
        <v>238.624</v>
      </c>
      <c r="K167" s="63" t="s">
        <v>105</v>
      </c>
      <c r="L167" s="68"/>
      <c r="M167" s="69" t="str">
        <f>IFERROR(VLOOKUP($B167,Tipologias!$A$4:$V$8,19,0),"")</f>
        <v/>
      </c>
      <c r="N167" s="69" t="str">
        <f t="shared" si="1"/>
        <v/>
      </c>
      <c r="O167" s="69"/>
      <c r="P167" s="68"/>
      <c r="Q167" s="91" t="s">
        <v>566</v>
      </c>
    </row>
    <row r="168" ht="15.75" customHeight="1">
      <c r="A168" s="90" t="s">
        <v>567</v>
      </c>
      <c r="B168" s="62" t="s">
        <v>184</v>
      </c>
      <c r="C168" s="63" t="s">
        <v>545</v>
      </c>
      <c r="D168" s="63">
        <v>2.0</v>
      </c>
      <c r="E168" s="63" t="s">
        <v>57</v>
      </c>
      <c r="F168" s="66">
        <f>IFERROR(VLOOKUP($B168,Tipologias!$A$4:$V$8,5,0),"")</f>
        <v>3</v>
      </c>
      <c r="G168" s="66">
        <f>IFERROR(VLOOKUP($B168,Tipologias!$A$4:$V$8,6,0),"")</f>
        <v>3</v>
      </c>
      <c r="H168" s="67">
        <f>IFERROR(VLOOKUP($B168,Tipologias!$A$4:$V$8,9,0),"")</f>
        <v>130.044</v>
      </c>
      <c r="I168" s="67">
        <f>IFERROR(VLOOKUP($B168,Tipologias!$A$4:$V$8,10,0),"")</f>
        <v>91.53</v>
      </c>
      <c r="J168" s="67">
        <f>IFERROR(VLOOKUP($B168,Tipologias!$A$4:$V$8,16,0),"")</f>
        <v>238.624</v>
      </c>
      <c r="K168" s="63" t="s">
        <v>105</v>
      </c>
      <c r="L168" s="68"/>
      <c r="M168" s="69" t="str">
        <f>IFERROR(VLOOKUP($B168,Tipologias!$A$4:$V$8,19,0),"")</f>
        <v/>
      </c>
      <c r="N168" s="69" t="str">
        <f t="shared" si="1"/>
        <v/>
      </c>
      <c r="O168" s="69"/>
      <c r="P168" s="68"/>
      <c r="Q168" s="92" t="s">
        <v>568</v>
      </c>
    </row>
    <row r="169" ht="15.75" customHeight="1">
      <c r="A169" s="90" t="s">
        <v>569</v>
      </c>
      <c r="B169" s="62" t="s">
        <v>184</v>
      </c>
      <c r="C169" s="63" t="s">
        <v>545</v>
      </c>
      <c r="D169" s="63">
        <v>2.0</v>
      </c>
      <c r="E169" s="63" t="s">
        <v>57</v>
      </c>
      <c r="F169" s="66">
        <f>IFERROR(VLOOKUP($B169,Tipologias!$A$4:$V$8,5,0),"")</f>
        <v>3</v>
      </c>
      <c r="G169" s="66">
        <f>IFERROR(VLOOKUP($B169,Tipologias!$A$4:$V$8,6,0),"")</f>
        <v>3</v>
      </c>
      <c r="H169" s="67">
        <f>IFERROR(VLOOKUP($B169,Tipologias!$A$4:$V$8,9,0),"")</f>
        <v>130.044</v>
      </c>
      <c r="I169" s="67">
        <f>IFERROR(VLOOKUP($B169,Tipologias!$A$4:$V$8,10,0),"")</f>
        <v>91.53</v>
      </c>
      <c r="J169" s="67">
        <f>IFERROR(VLOOKUP($B169,Tipologias!$A$4:$V$8,16,0),"")</f>
        <v>238.624</v>
      </c>
      <c r="K169" s="63" t="s">
        <v>105</v>
      </c>
      <c r="L169" s="68"/>
      <c r="M169" s="69" t="str">
        <f>IFERROR(VLOOKUP($B169,Tipologias!$A$4:$V$8,19,0),"")</f>
        <v/>
      </c>
      <c r="N169" s="69" t="str">
        <f t="shared" si="1"/>
        <v/>
      </c>
      <c r="O169" s="69"/>
      <c r="P169" s="68"/>
      <c r="Q169" s="91" t="s">
        <v>570</v>
      </c>
    </row>
    <row r="170" ht="15.75" customHeight="1">
      <c r="A170" s="90" t="s">
        <v>571</v>
      </c>
      <c r="B170" s="62" t="s">
        <v>184</v>
      </c>
      <c r="C170" s="63" t="s">
        <v>545</v>
      </c>
      <c r="D170" s="63">
        <v>2.0</v>
      </c>
      <c r="E170" s="63" t="s">
        <v>57</v>
      </c>
      <c r="F170" s="66">
        <f>IFERROR(VLOOKUP($B170,Tipologias!$A$4:$V$8,5,0),"")</f>
        <v>3</v>
      </c>
      <c r="G170" s="66">
        <f>IFERROR(VLOOKUP($B170,Tipologias!$A$4:$V$8,6,0),"")</f>
        <v>3</v>
      </c>
      <c r="H170" s="67">
        <f>IFERROR(VLOOKUP($B170,Tipologias!$A$4:$V$8,9,0),"")</f>
        <v>130.044</v>
      </c>
      <c r="I170" s="67">
        <f>IFERROR(VLOOKUP($B170,Tipologias!$A$4:$V$8,10,0),"")</f>
        <v>91.53</v>
      </c>
      <c r="J170" s="67">
        <f>IFERROR(VLOOKUP($B170,Tipologias!$A$4:$V$8,16,0),"")</f>
        <v>238.624</v>
      </c>
      <c r="K170" s="63" t="s">
        <v>105</v>
      </c>
      <c r="L170" s="68"/>
      <c r="M170" s="69" t="str">
        <f>IFERROR(VLOOKUP($B170,Tipologias!$A$4:$V$8,19,0),"")</f>
        <v/>
      </c>
      <c r="N170" s="69" t="str">
        <f t="shared" si="1"/>
        <v/>
      </c>
      <c r="O170" s="69"/>
      <c r="P170" s="68"/>
      <c r="Q170" s="92" t="s">
        <v>572</v>
      </c>
    </row>
    <row r="171" ht="15.75" customHeight="1">
      <c r="A171" s="90" t="s">
        <v>573</v>
      </c>
      <c r="B171" s="62" t="s">
        <v>184</v>
      </c>
      <c r="C171" s="63" t="s">
        <v>545</v>
      </c>
      <c r="D171" s="63">
        <v>2.0</v>
      </c>
      <c r="E171" s="63" t="s">
        <v>57</v>
      </c>
      <c r="F171" s="66">
        <f>IFERROR(VLOOKUP($B171,Tipologias!$A$4:$V$8,5,0),"")</f>
        <v>3</v>
      </c>
      <c r="G171" s="66">
        <f>IFERROR(VLOOKUP($B171,Tipologias!$A$4:$V$8,6,0),"")</f>
        <v>3</v>
      </c>
      <c r="H171" s="67">
        <f>IFERROR(VLOOKUP($B171,Tipologias!$A$4:$V$8,9,0),"")</f>
        <v>130.044</v>
      </c>
      <c r="I171" s="67">
        <f>IFERROR(VLOOKUP($B171,Tipologias!$A$4:$V$8,10,0),"")</f>
        <v>91.53</v>
      </c>
      <c r="J171" s="67">
        <f>IFERROR(VLOOKUP($B171,Tipologias!$A$4:$V$8,16,0),"")</f>
        <v>238.624</v>
      </c>
      <c r="K171" s="63" t="s">
        <v>105</v>
      </c>
      <c r="L171" s="68"/>
      <c r="M171" s="69" t="str">
        <f>IFERROR(VLOOKUP($B171,Tipologias!$A$4:$V$8,19,0),"")</f>
        <v/>
      </c>
      <c r="N171" s="69" t="str">
        <f t="shared" si="1"/>
        <v/>
      </c>
      <c r="O171" s="69"/>
      <c r="P171" s="68"/>
      <c r="Q171" s="91" t="s">
        <v>574</v>
      </c>
    </row>
    <row r="172" ht="15.75" customHeight="1">
      <c r="A172" s="90" t="s">
        <v>575</v>
      </c>
      <c r="B172" s="62" t="s">
        <v>184</v>
      </c>
      <c r="C172" s="63" t="s">
        <v>545</v>
      </c>
      <c r="D172" s="63">
        <v>2.0</v>
      </c>
      <c r="E172" s="63" t="s">
        <v>57</v>
      </c>
      <c r="F172" s="66">
        <f>IFERROR(VLOOKUP($B172,Tipologias!$A$4:$V$8,5,0),"")</f>
        <v>3</v>
      </c>
      <c r="G172" s="66">
        <f>IFERROR(VLOOKUP($B172,Tipologias!$A$4:$V$8,6,0),"")</f>
        <v>3</v>
      </c>
      <c r="H172" s="67">
        <f>IFERROR(VLOOKUP($B172,Tipologias!$A$4:$V$8,9,0),"")</f>
        <v>130.044</v>
      </c>
      <c r="I172" s="67">
        <f>IFERROR(VLOOKUP($B172,Tipologias!$A$4:$V$8,10,0),"")</f>
        <v>91.53</v>
      </c>
      <c r="J172" s="67">
        <f>IFERROR(VLOOKUP($B172,Tipologias!$A$4:$V$8,16,0),"")</f>
        <v>238.624</v>
      </c>
      <c r="K172" s="63" t="s">
        <v>105</v>
      </c>
      <c r="L172" s="68"/>
      <c r="M172" s="69" t="str">
        <f>IFERROR(VLOOKUP($B172,Tipologias!$A$4:$V$8,19,0),"")</f>
        <v/>
      </c>
      <c r="N172" s="69" t="str">
        <f t="shared" si="1"/>
        <v/>
      </c>
      <c r="O172" s="69"/>
      <c r="P172" s="68"/>
      <c r="Q172" s="91" t="s">
        <v>576</v>
      </c>
    </row>
    <row r="173" ht="15.75" customHeight="1">
      <c r="A173" s="90" t="s">
        <v>577</v>
      </c>
      <c r="B173" s="62" t="s">
        <v>184</v>
      </c>
      <c r="C173" s="63" t="s">
        <v>545</v>
      </c>
      <c r="D173" s="63">
        <v>2.0</v>
      </c>
      <c r="E173" s="63" t="s">
        <v>57</v>
      </c>
      <c r="F173" s="66">
        <f>IFERROR(VLOOKUP($B173,Tipologias!$A$4:$V$8,5,0),"")</f>
        <v>3</v>
      </c>
      <c r="G173" s="66">
        <f>IFERROR(VLOOKUP($B173,Tipologias!$A$4:$V$8,6,0),"")</f>
        <v>3</v>
      </c>
      <c r="H173" s="67">
        <f>IFERROR(VLOOKUP($B173,Tipologias!$A$4:$V$8,9,0),"")</f>
        <v>130.044</v>
      </c>
      <c r="I173" s="67">
        <f>IFERROR(VLOOKUP($B173,Tipologias!$A$4:$V$8,10,0),"")</f>
        <v>91.53</v>
      </c>
      <c r="J173" s="67">
        <f>IFERROR(VLOOKUP($B173,Tipologias!$A$4:$V$8,16,0),"")</f>
        <v>238.624</v>
      </c>
      <c r="K173" s="63" t="s">
        <v>105</v>
      </c>
      <c r="L173" s="68"/>
      <c r="M173" s="69" t="str">
        <f>IFERROR(VLOOKUP($B173,Tipologias!$A$4:$V$8,19,0),"")</f>
        <v/>
      </c>
      <c r="N173" s="69" t="str">
        <f t="shared" si="1"/>
        <v/>
      </c>
      <c r="O173" s="69"/>
      <c r="P173" s="68"/>
      <c r="Q173" s="91" t="s">
        <v>578</v>
      </c>
    </row>
    <row r="174" ht="15.75" customHeight="1">
      <c r="A174" s="90" t="s">
        <v>579</v>
      </c>
      <c r="B174" s="62" t="s">
        <v>184</v>
      </c>
      <c r="C174" s="63" t="s">
        <v>545</v>
      </c>
      <c r="D174" s="63">
        <v>2.0</v>
      </c>
      <c r="E174" s="63" t="s">
        <v>57</v>
      </c>
      <c r="F174" s="66">
        <f>IFERROR(VLOOKUP($B174,Tipologias!$A$4:$V$8,5,0),"")</f>
        <v>3</v>
      </c>
      <c r="G174" s="66">
        <f>IFERROR(VLOOKUP($B174,Tipologias!$A$4:$V$8,6,0),"")</f>
        <v>3</v>
      </c>
      <c r="H174" s="67">
        <f>IFERROR(VLOOKUP($B174,Tipologias!$A$4:$V$8,9,0),"")</f>
        <v>130.044</v>
      </c>
      <c r="I174" s="67">
        <f>IFERROR(VLOOKUP($B174,Tipologias!$A$4:$V$8,10,0),"")</f>
        <v>91.53</v>
      </c>
      <c r="J174" s="67">
        <f>IFERROR(VLOOKUP($B174,Tipologias!$A$4:$V$8,16,0),"")</f>
        <v>238.624</v>
      </c>
      <c r="K174" s="63" t="s">
        <v>105</v>
      </c>
      <c r="L174" s="68"/>
      <c r="M174" s="69" t="str">
        <f>IFERROR(VLOOKUP($B174,Tipologias!$A$4:$V$8,19,0),"")</f>
        <v/>
      </c>
      <c r="N174" s="69" t="str">
        <f t="shared" si="1"/>
        <v/>
      </c>
      <c r="O174" s="69"/>
      <c r="P174" s="68"/>
      <c r="Q174" s="92" t="s">
        <v>580</v>
      </c>
    </row>
    <row r="175" ht="15.75" customHeight="1">
      <c r="A175" s="90" t="s">
        <v>581</v>
      </c>
      <c r="B175" s="62" t="s">
        <v>184</v>
      </c>
      <c r="C175" s="63" t="s">
        <v>545</v>
      </c>
      <c r="D175" s="63">
        <v>2.0</v>
      </c>
      <c r="E175" s="63" t="s">
        <v>57</v>
      </c>
      <c r="F175" s="66">
        <f>IFERROR(VLOOKUP($B175,Tipologias!$A$4:$V$8,5,0),"")</f>
        <v>3</v>
      </c>
      <c r="G175" s="66">
        <f>IFERROR(VLOOKUP($B175,Tipologias!$A$4:$V$8,6,0),"")</f>
        <v>3</v>
      </c>
      <c r="H175" s="67">
        <f>IFERROR(VLOOKUP($B175,Tipologias!$A$4:$V$8,9,0),"")</f>
        <v>130.044</v>
      </c>
      <c r="I175" s="67">
        <f>IFERROR(VLOOKUP($B175,Tipologias!$A$4:$V$8,10,0),"")</f>
        <v>91.53</v>
      </c>
      <c r="J175" s="67">
        <f>IFERROR(VLOOKUP($B175,Tipologias!$A$4:$V$8,16,0),"")</f>
        <v>238.624</v>
      </c>
      <c r="K175" s="63" t="s">
        <v>105</v>
      </c>
      <c r="L175" s="68"/>
      <c r="M175" s="69" t="str">
        <f>IFERROR(VLOOKUP($B175,Tipologias!$A$4:$V$8,19,0),"")</f>
        <v/>
      </c>
      <c r="N175" s="69" t="str">
        <f t="shared" si="1"/>
        <v/>
      </c>
      <c r="O175" s="69"/>
      <c r="P175" s="68"/>
      <c r="Q175" s="91" t="s">
        <v>582</v>
      </c>
    </row>
    <row r="176" ht="15.75" customHeight="1">
      <c r="A176" s="90" t="s">
        <v>583</v>
      </c>
      <c r="B176" s="62" t="s">
        <v>184</v>
      </c>
      <c r="C176" s="63" t="s">
        <v>545</v>
      </c>
      <c r="D176" s="63">
        <v>2.0</v>
      </c>
      <c r="E176" s="63" t="s">
        <v>57</v>
      </c>
      <c r="F176" s="66">
        <f>IFERROR(VLOOKUP($B176,Tipologias!$A$4:$V$8,5,0),"")</f>
        <v>3</v>
      </c>
      <c r="G176" s="66">
        <f>IFERROR(VLOOKUP($B176,Tipologias!$A$4:$V$8,6,0),"")</f>
        <v>3</v>
      </c>
      <c r="H176" s="67">
        <f>IFERROR(VLOOKUP($B176,Tipologias!$A$4:$V$8,9,0),"")</f>
        <v>130.044</v>
      </c>
      <c r="I176" s="67">
        <f>IFERROR(VLOOKUP($B176,Tipologias!$A$4:$V$8,10,0),"")</f>
        <v>91.53</v>
      </c>
      <c r="J176" s="67">
        <f>IFERROR(VLOOKUP($B176,Tipologias!$A$4:$V$8,16,0),"")</f>
        <v>238.624</v>
      </c>
      <c r="K176" s="63" t="s">
        <v>105</v>
      </c>
      <c r="L176" s="68"/>
      <c r="M176" s="69" t="str">
        <f>IFERROR(VLOOKUP($B176,Tipologias!$A$4:$V$8,19,0),"")</f>
        <v/>
      </c>
      <c r="N176" s="69" t="str">
        <f t="shared" si="1"/>
        <v/>
      </c>
      <c r="O176" s="69"/>
      <c r="P176" s="68"/>
      <c r="Q176" s="91" t="s">
        <v>584</v>
      </c>
    </row>
    <row r="177" ht="15.75" customHeight="1">
      <c r="A177" s="90" t="s">
        <v>585</v>
      </c>
      <c r="B177" s="62" t="s">
        <v>184</v>
      </c>
      <c r="C177" s="63" t="s">
        <v>545</v>
      </c>
      <c r="D177" s="63">
        <v>2.0</v>
      </c>
      <c r="E177" s="63" t="s">
        <v>57</v>
      </c>
      <c r="F177" s="66">
        <f>IFERROR(VLOOKUP($B177,Tipologias!$A$4:$V$8,5,0),"")</f>
        <v>3</v>
      </c>
      <c r="G177" s="66">
        <f>IFERROR(VLOOKUP($B177,Tipologias!$A$4:$V$8,6,0),"")</f>
        <v>3</v>
      </c>
      <c r="H177" s="67">
        <f>IFERROR(VLOOKUP($B177,Tipologias!$A$4:$V$8,9,0),"")</f>
        <v>130.044</v>
      </c>
      <c r="I177" s="67">
        <f>IFERROR(VLOOKUP($B177,Tipologias!$A$4:$V$8,10,0),"")</f>
        <v>91.53</v>
      </c>
      <c r="J177" s="67">
        <f>IFERROR(VLOOKUP($B177,Tipologias!$A$4:$V$8,16,0),"")</f>
        <v>238.624</v>
      </c>
      <c r="K177" s="63" t="s">
        <v>105</v>
      </c>
      <c r="L177" s="68"/>
      <c r="M177" s="69" t="str">
        <f>IFERROR(VLOOKUP($B177,Tipologias!$A$4:$V$8,19,0),"")</f>
        <v/>
      </c>
      <c r="N177" s="69" t="str">
        <f t="shared" si="1"/>
        <v/>
      </c>
      <c r="O177" s="69"/>
      <c r="P177" s="68"/>
      <c r="Q177" s="91" t="s">
        <v>586</v>
      </c>
    </row>
    <row r="178" ht="15.75" customHeight="1">
      <c r="A178" s="90" t="s">
        <v>587</v>
      </c>
      <c r="B178" s="62" t="s">
        <v>184</v>
      </c>
      <c r="C178" s="63" t="s">
        <v>545</v>
      </c>
      <c r="D178" s="63">
        <v>2.0</v>
      </c>
      <c r="E178" s="63" t="s">
        <v>57</v>
      </c>
      <c r="F178" s="66">
        <f>IFERROR(VLOOKUP($B178,Tipologias!$A$4:$V$8,5,0),"")</f>
        <v>3</v>
      </c>
      <c r="G178" s="66">
        <f>IFERROR(VLOOKUP($B178,Tipologias!$A$4:$V$8,6,0),"")</f>
        <v>3</v>
      </c>
      <c r="H178" s="67">
        <f>IFERROR(VLOOKUP($B178,Tipologias!$A$4:$V$8,9,0),"")</f>
        <v>130.044</v>
      </c>
      <c r="I178" s="67">
        <f>IFERROR(VLOOKUP($B178,Tipologias!$A$4:$V$8,10,0),"")</f>
        <v>91.53</v>
      </c>
      <c r="J178" s="67">
        <f>IFERROR(VLOOKUP($B178,Tipologias!$A$4:$V$8,16,0),"")</f>
        <v>238.624</v>
      </c>
      <c r="K178" s="63" t="s">
        <v>105</v>
      </c>
      <c r="L178" s="68"/>
      <c r="M178" s="69" t="str">
        <f>IFERROR(VLOOKUP($B178,Tipologias!$A$4:$V$8,19,0),"")</f>
        <v/>
      </c>
      <c r="N178" s="69" t="str">
        <f t="shared" si="1"/>
        <v/>
      </c>
      <c r="O178" s="69"/>
      <c r="P178" s="68"/>
      <c r="Q178" s="92" t="s">
        <v>588</v>
      </c>
    </row>
    <row r="179" ht="15.75" customHeight="1">
      <c r="A179" s="90" t="s">
        <v>589</v>
      </c>
      <c r="B179" s="62" t="s">
        <v>184</v>
      </c>
      <c r="C179" s="63" t="s">
        <v>545</v>
      </c>
      <c r="D179" s="63">
        <v>2.0</v>
      </c>
      <c r="E179" s="63" t="s">
        <v>57</v>
      </c>
      <c r="F179" s="66">
        <f>IFERROR(VLOOKUP($B179,Tipologias!$A$4:$V$8,5,0),"")</f>
        <v>3</v>
      </c>
      <c r="G179" s="66">
        <f>IFERROR(VLOOKUP($B179,Tipologias!$A$4:$V$8,6,0),"")</f>
        <v>3</v>
      </c>
      <c r="H179" s="67">
        <f>IFERROR(VLOOKUP($B179,Tipologias!$A$4:$V$8,9,0),"")</f>
        <v>130.044</v>
      </c>
      <c r="I179" s="67">
        <f>IFERROR(VLOOKUP($B179,Tipologias!$A$4:$V$8,10,0),"")</f>
        <v>91.53</v>
      </c>
      <c r="J179" s="67">
        <f>IFERROR(VLOOKUP($B179,Tipologias!$A$4:$V$8,16,0),"")</f>
        <v>238.624</v>
      </c>
      <c r="K179" s="63" t="s">
        <v>105</v>
      </c>
      <c r="L179" s="68"/>
      <c r="M179" s="69" t="str">
        <f>IFERROR(VLOOKUP($B179,Tipologias!$A$4:$V$8,19,0),"")</f>
        <v/>
      </c>
      <c r="N179" s="69" t="str">
        <f t="shared" si="1"/>
        <v/>
      </c>
      <c r="O179" s="69"/>
      <c r="P179" s="68"/>
      <c r="Q179" s="92" t="s">
        <v>590</v>
      </c>
    </row>
    <row r="180" ht="15.75" customHeight="1">
      <c r="A180" s="90" t="s">
        <v>591</v>
      </c>
      <c r="B180" s="62" t="s">
        <v>184</v>
      </c>
      <c r="C180" s="63" t="s">
        <v>545</v>
      </c>
      <c r="D180" s="63">
        <v>2.0</v>
      </c>
      <c r="E180" s="63" t="s">
        <v>57</v>
      </c>
      <c r="F180" s="66">
        <f>IFERROR(VLOOKUP($B180,Tipologias!$A$4:$V$8,5,0),"")</f>
        <v>3</v>
      </c>
      <c r="G180" s="66">
        <f>IFERROR(VLOOKUP($B180,Tipologias!$A$4:$V$8,6,0),"")</f>
        <v>3</v>
      </c>
      <c r="H180" s="67">
        <f>IFERROR(VLOOKUP($B180,Tipologias!$A$4:$V$8,9,0),"")</f>
        <v>130.044</v>
      </c>
      <c r="I180" s="67">
        <f>IFERROR(VLOOKUP($B180,Tipologias!$A$4:$V$8,10,0),"")</f>
        <v>91.53</v>
      </c>
      <c r="J180" s="67">
        <f>IFERROR(VLOOKUP($B180,Tipologias!$A$4:$V$8,16,0),"")</f>
        <v>238.624</v>
      </c>
      <c r="K180" s="63" t="s">
        <v>105</v>
      </c>
      <c r="L180" s="68"/>
      <c r="M180" s="69" t="str">
        <f>IFERROR(VLOOKUP($B180,Tipologias!$A$4:$V$8,19,0),"")</f>
        <v/>
      </c>
      <c r="N180" s="69" t="str">
        <f t="shared" si="1"/>
        <v/>
      </c>
      <c r="O180" s="69"/>
      <c r="P180" s="68"/>
      <c r="Q180" s="92" t="s">
        <v>592</v>
      </c>
    </row>
    <row r="181" ht="15.75" customHeight="1">
      <c r="A181" s="90" t="s">
        <v>593</v>
      </c>
      <c r="B181" s="62" t="s">
        <v>184</v>
      </c>
      <c r="C181" s="63" t="s">
        <v>545</v>
      </c>
      <c r="D181" s="63">
        <v>2.0</v>
      </c>
      <c r="E181" s="63" t="s">
        <v>57</v>
      </c>
      <c r="F181" s="66">
        <f>IFERROR(VLOOKUP($B181,Tipologias!$A$4:$V$8,5,0),"")</f>
        <v>3</v>
      </c>
      <c r="G181" s="66">
        <f>IFERROR(VLOOKUP($B181,Tipologias!$A$4:$V$8,6,0),"")</f>
        <v>3</v>
      </c>
      <c r="H181" s="67">
        <f>IFERROR(VLOOKUP($B181,Tipologias!$A$4:$V$8,9,0),"")</f>
        <v>130.044</v>
      </c>
      <c r="I181" s="67">
        <f>IFERROR(VLOOKUP($B181,Tipologias!$A$4:$V$8,10,0),"")</f>
        <v>91.53</v>
      </c>
      <c r="J181" s="67">
        <f>IFERROR(VLOOKUP($B181,Tipologias!$A$4:$V$8,16,0),"")</f>
        <v>238.624</v>
      </c>
      <c r="K181" s="63" t="s">
        <v>105</v>
      </c>
      <c r="L181" s="68"/>
      <c r="M181" s="69" t="str">
        <f>IFERROR(VLOOKUP($B181,Tipologias!$A$4:$V$8,19,0),"")</f>
        <v/>
      </c>
      <c r="N181" s="69" t="str">
        <f t="shared" si="1"/>
        <v/>
      </c>
      <c r="O181" s="69"/>
      <c r="P181" s="68"/>
      <c r="Q181" s="91" t="s">
        <v>594</v>
      </c>
    </row>
    <row r="182" ht="15.75" customHeight="1">
      <c r="A182" s="90" t="s">
        <v>595</v>
      </c>
      <c r="B182" s="62" t="s">
        <v>184</v>
      </c>
      <c r="C182" s="63" t="s">
        <v>545</v>
      </c>
      <c r="D182" s="63">
        <v>2.0</v>
      </c>
      <c r="E182" s="63" t="s">
        <v>57</v>
      </c>
      <c r="F182" s="66">
        <f>IFERROR(VLOOKUP($B182,Tipologias!$A$4:$V$8,5,0),"")</f>
        <v>3</v>
      </c>
      <c r="G182" s="66">
        <f>IFERROR(VLOOKUP($B182,Tipologias!$A$4:$V$8,6,0),"")</f>
        <v>3</v>
      </c>
      <c r="H182" s="67">
        <f>IFERROR(VLOOKUP($B182,Tipologias!$A$4:$V$8,9,0),"")</f>
        <v>130.044</v>
      </c>
      <c r="I182" s="67">
        <f>IFERROR(VLOOKUP($B182,Tipologias!$A$4:$V$8,10,0),"")</f>
        <v>91.53</v>
      </c>
      <c r="J182" s="67">
        <f>IFERROR(VLOOKUP($B182,Tipologias!$A$4:$V$8,16,0),"")</f>
        <v>238.624</v>
      </c>
      <c r="K182" s="63" t="s">
        <v>105</v>
      </c>
      <c r="L182" s="68"/>
      <c r="M182" s="69" t="str">
        <f>IFERROR(VLOOKUP($B182,Tipologias!$A$4:$V$8,19,0),"")</f>
        <v/>
      </c>
      <c r="N182" s="69" t="str">
        <f t="shared" si="1"/>
        <v/>
      </c>
      <c r="O182" s="69"/>
      <c r="P182" s="68"/>
      <c r="Q182" s="92" t="s">
        <v>596</v>
      </c>
    </row>
    <row r="183" ht="15.75" customHeight="1">
      <c r="A183" s="90" t="s">
        <v>597</v>
      </c>
      <c r="B183" s="62" t="s">
        <v>184</v>
      </c>
      <c r="C183" s="63" t="s">
        <v>545</v>
      </c>
      <c r="D183" s="63">
        <v>2.0</v>
      </c>
      <c r="E183" s="63" t="s">
        <v>57</v>
      </c>
      <c r="F183" s="66">
        <f>IFERROR(VLOOKUP($B183,Tipologias!$A$4:$V$8,5,0),"")</f>
        <v>3</v>
      </c>
      <c r="G183" s="66">
        <f>IFERROR(VLOOKUP($B183,Tipologias!$A$4:$V$8,6,0),"")</f>
        <v>3</v>
      </c>
      <c r="H183" s="67">
        <f>IFERROR(VLOOKUP($B183,Tipologias!$A$4:$V$8,9,0),"")</f>
        <v>130.044</v>
      </c>
      <c r="I183" s="67">
        <f>IFERROR(VLOOKUP($B183,Tipologias!$A$4:$V$8,10,0),"")</f>
        <v>91.53</v>
      </c>
      <c r="J183" s="67">
        <f>IFERROR(VLOOKUP($B183,Tipologias!$A$4:$V$8,16,0),"")</f>
        <v>238.624</v>
      </c>
      <c r="K183" s="63" t="s">
        <v>105</v>
      </c>
      <c r="L183" s="68"/>
      <c r="M183" s="69" t="str">
        <f>IFERROR(VLOOKUP($B183,Tipologias!$A$4:$V$8,19,0),"")</f>
        <v/>
      </c>
      <c r="N183" s="69" t="str">
        <f t="shared" si="1"/>
        <v/>
      </c>
      <c r="O183" s="69"/>
      <c r="P183" s="68"/>
      <c r="Q183" s="91" t="s">
        <v>598</v>
      </c>
    </row>
    <row r="184" ht="15.75" customHeight="1">
      <c r="A184" s="90" t="s">
        <v>599</v>
      </c>
      <c r="B184" s="62" t="s">
        <v>184</v>
      </c>
      <c r="C184" s="63" t="s">
        <v>545</v>
      </c>
      <c r="D184" s="63">
        <v>2.0</v>
      </c>
      <c r="E184" s="63" t="s">
        <v>57</v>
      </c>
      <c r="F184" s="66">
        <f>IFERROR(VLOOKUP($B184,Tipologias!$A$4:$V$8,5,0),"")</f>
        <v>3</v>
      </c>
      <c r="G184" s="66">
        <f>IFERROR(VLOOKUP($B184,Tipologias!$A$4:$V$8,6,0),"")</f>
        <v>3</v>
      </c>
      <c r="H184" s="67">
        <f>IFERROR(VLOOKUP($B184,Tipologias!$A$4:$V$8,9,0),"")</f>
        <v>130.044</v>
      </c>
      <c r="I184" s="67">
        <f>IFERROR(VLOOKUP($B184,Tipologias!$A$4:$V$8,10,0),"")</f>
        <v>91.53</v>
      </c>
      <c r="J184" s="67">
        <f>IFERROR(VLOOKUP($B184,Tipologias!$A$4:$V$8,16,0),"")</f>
        <v>238.624</v>
      </c>
      <c r="K184" s="63" t="s">
        <v>105</v>
      </c>
      <c r="L184" s="68"/>
      <c r="M184" s="69" t="str">
        <f>IFERROR(VLOOKUP($B184,Tipologias!$A$4:$V$8,19,0),"")</f>
        <v/>
      </c>
      <c r="N184" s="69" t="str">
        <f t="shared" si="1"/>
        <v/>
      </c>
      <c r="O184" s="69"/>
      <c r="P184" s="68"/>
      <c r="Q184" s="92" t="s">
        <v>600</v>
      </c>
    </row>
    <row r="185" ht="15.75" customHeight="1">
      <c r="A185" s="90" t="s">
        <v>601</v>
      </c>
      <c r="B185" s="62" t="s">
        <v>184</v>
      </c>
      <c r="C185" s="63" t="s">
        <v>545</v>
      </c>
      <c r="D185" s="63">
        <v>2.0</v>
      </c>
      <c r="E185" s="63" t="s">
        <v>57</v>
      </c>
      <c r="F185" s="66">
        <f>IFERROR(VLOOKUP($B185,Tipologias!$A$4:$V$8,5,0),"")</f>
        <v>3</v>
      </c>
      <c r="G185" s="66">
        <f>IFERROR(VLOOKUP($B185,Tipologias!$A$4:$V$8,6,0),"")</f>
        <v>3</v>
      </c>
      <c r="H185" s="67">
        <f>IFERROR(VLOOKUP($B185,Tipologias!$A$4:$V$8,9,0),"")</f>
        <v>130.044</v>
      </c>
      <c r="I185" s="67">
        <f>IFERROR(VLOOKUP($B185,Tipologias!$A$4:$V$8,10,0),"")</f>
        <v>91.53</v>
      </c>
      <c r="J185" s="67">
        <f>IFERROR(VLOOKUP($B185,Tipologias!$A$4:$V$8,16,0),"")</f>
        <v>238.624</v>
      </c>
      <c r="K185" s="63" t="s">
        <v>105</v>
      </c>
      <c r="L185" s="68"/>
      <c r="M185" s="69" t="str">
        <f>IFERROR(VLOOKUP($B185,Tipologias!$A$4:$V$8,19,0),"")</f>
        <v/>
      </c>
      <c r="N185" s="69" t="str">
        <f t="shared" si="1"/>
        <v/>
      </c>
      <c r="O185" s="69"/>
      <c r="P185" s="68"/>
      <c r="Q185" s="92" t="s">
        <v>602</v>
      </c>
    </row>
    <row r="186" ht="15.75" customHeight="1">
      <c r="A186" s="90" t="s">
        <v>603</v>
      </c>
      <c r="B186" s="62" t="s">
        <v>184</v>
      </c>
      <c r="C186" s="63" t="s">
        <v>545</v>
      </c>
      <c r="D186" s="63">
        <v>2.0</v>
      </c>
      <c r="E186" s="63" t="s">
        <v>57</v>
      </c>
      <c r="F186" s="66">
        <f>IFERROR(VLOOKUP($B186,Tipologias!$A$4:$V$8,5,0),"")</f>
        <v>3</v>
      </c>
      <c r="G186" s="66">
        <f>IFERROR(VLOOKUP($B186,Tipologias!$A$4:$V$8,6,0),"")</f>
        <v>3</v>
      </c>
      <c r="H186" s="67">
        <f>IFERROR(VLOOKUP($B186,Tipologias!$A$4:$V$8,9,0),"")</f>
        <v>130.044</v>
      </c>
      <c r="I186" s="67">
        <f>IFERROR(VLOOKUP($B186,Tipologias!$A$4:$V$8,10,0),"")</f>
        <v>91.53</v>
      </c>
      <c r="J186" s="67">
        <f>IFERROR(VLOOKUP($B186,Tipologias!$A$4:$V$8,16,0),"")</f>
        <v>238.624</v>
      </c>
      <c r="K186" s="63" t="s">
        <v>105</v>
      </c>
      <c r="L186" s="68"/>
      <c r="M186" s="69" t="str">
        <f>IFERROR(VLOOKUP($B186,Tipologias!$A$4:$V$8,19,0),"")</f>
        <v/>
      </c>
      <c r="N186" s="69" t="str">
        <f t="shared" si="1"/>
        <v/>
      </c>
      <c r="O186" s="69"/>
      <c r="P186" s="68"/>
      <c r="Q186" s="92" t="s">
        <v>604</v>
      </c>
    </row>
    <row r="187" ht="15.75" customHeight="1">
      <c r="A187" s="90" t="s">
        <v>605</v>
      </c>
      <c r="B187" s="62" t="s">
        <v>184</v>
      </c>
      <c r="C187" s="63" t="s">
        <v>545</v>
      </c>
      <c r="D187" s="63">
        <v>2.0</v>
      </c>
      <c r="E187" s="63" t="s">
        <v>57</v>
      </c>
      <c r="F187" s="66">
        <f>IFERROR(VLOOKUP($B187,Tipologias!$A$4:$V$8,5,0),"")</f>
        <v>3</v>
      </c>
      <c r="G187" s="66">
        <f>IFERROR(VLOOKUP($B187,Tipologias!$A$4:$V$8,6,0),"")</f>
        <v>3</v>
      </c>
      <c r="H187" s="67">
        <f>IFERROR(VLOOKUP($B187,Tipologias!$A$4:$V$8,9,0),"")</f>
        <v>130.044</v>
      </c>
      <c r="I187" s="67">
        <f>IFERROR(VLOOKUP($B187,Tipologias!$A$4:$V$8,10,0),"")</f>
        <v>91.53</v>
      </c>
      <c r="J187" s="67">
        <f>IFERROR(VLOOKUP($B187,Tipologias!$A$4:$V$8,16,0),"")</f>
        <v>238.624</v>
      </c>
      <c r="K187" s="63" t="s">
        <v>105</v>
      </c>
      <c r="L187" s="68"/>
      <c r="M187" s="69" t="str">
        <f>IFERROR(VLOOKUP($B187,Tipologias!$A$4:$V$8,19,0),"")</f>
        <v/>
      </c>
      <c r="N187" s="69" t="str">
        <f t="shared" si="1"/>
        <v/>
      </c>
      <c r="O187" s="69"/>
      <c r="P187" s="68"/>
      <c r="Q187" s="91" t="s">
        <v>606</v>
      </c>
    </row>
    <row r="188" ht="15.75" customHeight="1">
      <c r="A188" s="90" t="s">
        <v>607</v>
      </c>
      <c r="B188" s="62" t="s">
        <v>184</v>
      </c>
      <c r="C188" s="63" t="s">
        <v>545</v>
      </c>
      <c r="D188" s="63">
        <v>2.0</v>
      </c>
      <c r="E188" s="63" t="s">
        <v>57</v>
      </c>
      <c r="F188" s="66">
        <f>IFERROR(VLOOKUP($B188,Tipologias!$A$4:$V$8,5,0),"")</f>
        <v>3</v>
      </c>
      <c r="G188" s="66">
        <f>IFERROR(VLOOKUP($B188,Tipologias!$A$4:$V$8,6,0),"")</f>
        <v>3</v>
      </c>
      <c r="H188" s="67">
        <f>IFERROR(VLOOKUP($B188,Tipologias!$A$4:$V$8,9,0),"")</f>
        <v>130.044</v>
      </c>
      <c r="I188" s="67">
        <f>IFERROR(VLOOKUP($B188,Tipologias!$A$4:$V$8,10,0),"")</f>
        <v>91.53</v>
      </c>
      <c r="J188" s="67">
        <f>IFERROR(VLOOKUP($B188,Tipologias!$A$4:$V$8,16,0),"")</f>
        <v>238.624</v>
      </c>
      <c r="K188" s="63" t="s">
        <v>105</v>
      </c>
      <c r="L188" s="68"/>
      <c r="M188" s="69" t="str">
        <f>IFERROR(VLOOKUP($B188,Tipologias!$A$4:$V$8,19,0),"")</f>
        <v/>
      </c>
      <c r="N188" s="69" t="str">
        <f t="shared" si="1"/>
        <v/>
      </c>
      <c r="O188" s="69"/>
      <c r="P188" s="68"/>
      <c r="Q188" s="91" t="s">
        <v>608</v>
      </c>
    </row>
    <row r="189" ht="15.75" customHeight="1">
      <c r="A189" s="90" t="s">
        <v>609</v>
      </c>
      <c r="B189" s="62" t="s">
        <v>184</v>
      </c>
      <c r="C189" s="63" t="s">
        <v>545</v>
      </c>
      <c r="D189" s="63">
        <v>2.0</v>
      </c>
      <c r="E189" s="63" t="s">
        <v>57</v>
      </c>
      <c r="F189" s="66">
        <f>IFERROR(VLOOKUP($B189,Tipologias!$A$4:$V$8,5,0),"")</f>
        <v>3</v>
      </c>
      <c r="G189" s="66">
        <f>IFERROR(VLOOKUP($B189,Tipologias!$A$4:$V$8,6,0),"")</f>
        <v>3</v>
      </c>
      <c r="H189" s="67">
        <f>IFERROR(VLOOKUP($B189,Tipologias!$A$4:$V$8,9,0),"")</f>
        <v>130.044</v>
      </c>
      <c r="I189" s="67">
        <f>IFERROR(VLOOKUP($B189,Tipologias!$A$4:$V$8,10,0),"")</f>
        <v>91.53</v>
      </c>
      <c r="J189" s="67">
        <f>IFERROR(VLOOKUP($B189,Tipologias!$A$4:$V$8,16,0),"")</f>
        <v>238.624</v>
      </c>
      <c r="K189" s="63" t="s">
        <v>105</v>
      </c>
      <c r="L189" s="68"/>
      <c r="M189" s="69" t="str">
        <f>IFERROR(VLOOKUP($B189,Tipologias!$A$4:$V$8,19,0),"")</f>
        <v/>
      </c>
      <c r="N189" s="69" t="str">
        <f t="shared" si="1"/>
        <v/>
      </c>
      <c r="O189" s="69"/>
      <c r="P189" s="68"/>
      <c r="Q189" s="91" t="s">
        <v>610</v>
      </c>
    </row>
    <row r="190" ht="15.75" customHeight="1">
      <c r="A190" s="90" t="s">
        <v>611</v>
      </c>
      <c r="B190" s="62" t="s">
        <v>184</v>
      </c>
      <c r="C190" s="63" t="s">
        <v>545</v>
      </c>
      <c r="D190" s="63">
        <v>2.0</v>
      </c>
      <c r="E190" s="63" t="s">
        <v>57</v>
      </c>
      <c r="F190" s="66">
        <f>IFERROR(VLOOKUP($B190,Tipologias!$A$4:$V$8,5,0),"")</f>
        <v>3</v>
      </c>
      <c r="G190" s="66">
        <f>IFERROR(VLOOKUP($B190,Tipologias!$A$4:$V$8,6,0),"")</f>
        <v>3</v>
      </c>
      <c r="H190" s="67">
        <f>IFERROR(VLOOKUP($B190,Tipologias!$A$4:$V$8,9,0),"")</f>
        <v>130.044</v>
      </c>
      <c r="I190" s="67">
        <f>IFERROR(VLOOKUP($B190,Tipologias!$A$4:$V$8,10,0),"")</f>
        <v>91.53</v>
      </c>
      <c r="J190" s="67">
        <f>IFERROR(VLOOKUP($B190,Tipologias!$A$4:$V$8,16,0),"")</f>
        <v>238.624</v>
      </c>
      <c r="K190" s="63" t="s">
        <v>105</v>
      </c>
      <c r="L190" s="68"/>
      <c r="M190" s="69" t="str">
        <f>IFERROR(VLOOKUP($B190,Tipologias!$A$4:$V$8,19,0),"")</f>
        <v/>
      </c>
      <c r="N190" s="69" t="str">
        <f t="shared" si="1"/>
        <v/>
      </c>
      <c r="O190" s="69"/>
      <c r="P190" s="68"/>
      <c r="Q190" s="92" t="s">
        <v>612</v>
      </c>
    </row>
    <row r="191" ht="15.75" customHeight="1">
      <c r="A191" s="90" t="s">
        <v>613</v>
      </c>
      <c r="B191" s="62" t="s">
        <v>184</v>
      </c>
      <c r="C191" s="63" t="s">
        <v>545</v>
      </c>
      <c r="D191" s="63">
        <v>2.0</v>
      </c>
      <c r="E191" s="63" t="s">
        <v>57</v>
      </c>
      <c r="F191" s="66">
        <f>IFERROR(VLOOKUP($B191,Tipologias!$A$4:$V$8,5,0),"")</f>
        <v>3</v>
      </c>
      <c r="G191" s="66">
        <f>IFERROR(VLOOKUP($B191,Tipologias!$A$4:$V$8,6,0),"")</f>
        <v>3</v>
      </c>
      <c r="H191" s="67">
        <f>IFERROR(VLOOKUP($B191,Tipologias!$A$4:$V$8,9,0),"")</f>
        <v>130.044</v>
      </c>
      <c r="I191" s="67">
        <f>IFERROR(VLOOKUP($B191,Tipologias!$A$4:$V$8,10,0),"")</f>
        <v>91.53</v>
      </c>
      <c r="J191" s="67">
        <f>IFERROR(VLOOKUP($B191,Tipologias!$A$4:$V$8,16,0),"")</f>
        <v>238.624</v>
      </c>
      <c r="K191" s="63" t="s">
        <v>105</v>
      </c>
      <c r="L191" s="68"/>
      <c r="M191" s="69" t="str">
        <f>IFERROR(VLOOKUP($B191,Tipologias!$A$4:$V$8,19,0),"")</f>
        <v/>
      </c>
      <c r="N191" s="69" t="str">
        <f t="shared" si="1"/>
        <v/>
      </c>
      <c r="O191" s="69"/>
      <c r="P191" s="68"/>
      <c r="Q191" s="92" t="s">
        <v>614</v>
      </c>
    </row>
    <row r="192" ht="15.75" customHeight="1">
      <c r="A192" s="90" t="s">
        <v>615</v>
      </c>
      <c r="B192" s="62" t="s">
        <v>184</v>
      </c>
      <c r="C192" s="63" t="s">
        <v>545</v>
      </c>
      <c r="D192" s="63">
        <v>2.0</v>
      </c>
      <c r="E192" s="63" t="s">
        <v>57</v>
      </c>
      <c r="F192" s="66">
        <f>IFERROR(VLOOKUP($B192,Tipologias!$A$4:$V$8,5,0),"")</f>
        <v>3</v>
      </c>
      <c r="G192" s="66">
        <f>IFERROR(VLOOKUP($B192,Tipologias!$A$4:$V$8,6,0),"")</f>
        <v>3</v>
      </c>
      <c r="H192" s="67">
        <f>IFERROR(VLOOKUP($B192,Tipologias!$A$4:$V$8,9,0),"")</f>
        <v>130.044</v>
      </c>
      <c r="I192" s="67">
        <f>IFERROR(VLOOKUP($B192,Tipologias!$A$4:$V$8,10,0),"")</f>
        <v>91.53</v>
      </c>
      <c r="J192" s="67">
        <f>IFERROR(VLOOKUP($B192,Tipologias!$A$4:$V$8,16,0),"")</f>
        <v>238.624</v>
      </c>
      <c r="K192" s="63" t="s">
        <v>105</v>
      </c>
      <c r="L192" s="68"/>
      <c r="M192" s="69" t="str">
        <f>IFERROR(VLOOKUP($B192,Tipologias!$A$4:$V$8,19,0),"")</f>
        <v/>
      </c>
      <c r="N192" s="69" t="str">
        <f t="shared" si="1"/>
        <v/>
      </c>
      <c r="O192" s="69"/>
      <c r="P192" s="68"/>
      <c r="Q192" s="92" t="s">
        <v>616</v>
      </c>
    </row>
    <row r="193" ht="15.75" customHeight="1">
      <c r="A193" s="90" t="s">
        <v>617</v>
      </c>
      <c r="B193" s="62" t="s">
        <v>184</v>
      </c>
      <c r="C193" s="63" t="s">
        <v>545</v>
      </c>
      <c r="D193" s="63">
        <v>2.0</v>
      </c>
      <c r="E193" s="63" t="s">
        <v>57</v>
      </c>
      <c r="F193" s="66">
        <f>IFERROR(VLOOKUP($B193,Tipologias!$A$4:$V$8,5,0),"")</f>
        <v>3</v>
      </c>
      <c r="G193" s="66">
        <f>IFERROR(VLOOKUP($B193,Tipologias!$A$4:$V$8,6,0),"")</f>
        <v>3</v>
      </c>
      <c r="H193" s="67">
        <f>IFERROR(VLOOKUP($B193,Tipologias!$A$4:$V$8,9,0),"")</f>
        <v>130.044</v>
      </c>
      <c r="I193" s="67">
        <f>IFERROR(VLOOKUP($B193,Tipologias!$A$4:$V$8,10,0),"")</f>
        <v>91.53</v>
      </c>
      <c r="J193" s="67">
        <f>IFERROR(VLOOKUP($B193,Tipologias!$A$4:$V$8,16,0),"")</f>
        <v>238.624</v>
      </c>
      <c r="K193" s="63" t="s">
        <v>105</v>
      </c>
      <c r="L193" s="68"/>
      <c r="M193" s="69" t="str">
        <f>IFERROR(VLOOKUP($B193,Tipologias!$A$4:$V$8,19,0),"")</f>
        <v/>
      </c>
      <c r="N193" s="69" t="str">
        <f t="shared" si="1"/>
        <v/>
      </c>
      <c r="O193" s="69"/>
      <c r="P193" s="68"/>
      <c r="Q193" s="91" t="s">
        <v>618</v>
      </c>
    </row>
    <row r="194" ht="15.75" customHeight="1">
      <c r="A194" s="90" t="s">
        <v>619</v>
      </c>
      <c r="B194" s="62" t="s">
        <v>184</v>
      </c>
      <c r="C194" s="63" t="s">
        <v>545</v>
      </c>
      <c r="D194" s="63">
        <v>2.0</v>
      </c>
      <c r="E194" s="63" t="s">
        <v>57</v>
      </c>
      <c r="F194" s="66">
        <f>IFERROR(VLOOKUP($B194,Tipologias!$A$4:$V$8,5,0),"")</f>
        <v>3</v>
      </c>
      <c r="G194" s="66">
        <f>IFERROR(VLOOKUP($B194,Tipologias!$A$4:$V$8,6,0),"")</f>
        <v>3</v>
      </c>
      <c r="H194" s="67">
        <f>IFERROR(VLOOKUP($B194,Tipologias!$A$4:$V$8,9,0),"")</f>
        <v>130.044</v>
      </c>
      <c r="I194" s="67">
        <f>IFERROR(VLOOKUP($B194,Tipologias!$A$4:$V$8,10,0),"")</f>
        <v>91.53</v>
      </c>
      <c r="J194" s="67">
        <f>IFERROR(VLOOKUP($B194,Tipologias!$A$4:$V$8,16,0),"")</f>
        <v>238.624</v>
      </c>
      <c r="K194" s="63" t="s">
        <v>105</v>
      </c>
      <c r="L194" s="68"/>
      <c r="M194" s="69" t="str">
        <f>IFERROR(VLOOKUP($B194,Tipologias!$A$4:$V$8,19,0),"")</f>
        <v/>
      </c>
      <c r="N194" s="69" t="str">
        <f t="shared" si="1"/>
        <v/>
      </c>
      <c r="O194" s="69"/>
      <c r="P194" s="68"/>
      <c r="Q194" s="92" t="s">
        <v>620</v>
      </c>
    </row>
    <row r="195" ht="15.75" customHeight="1">
      <c r="A195" s="90" t="s">
        <v>621</v>
      </c>
      <c r="B195" s="62" t="s">
        <v>184</v>
      </c>
      <c r="C195" s="63" t="s">
        <v>545</v>
      </c>
      <c r="D195" s="63">
        <v>2.0</v>
      </c>
      <c r="E195" s="63" t="s">
        <v>57</v>
      </c>
      <c r="F195" s="66">
        <f>IFERROR(VLOOKUP($B195,Tipologias!$A$4:$V$8,5,0),"")</f>
        <v>3</v>
      </c>
      <c r="G195" s="66">
        <f>IFERROR(VLOOKUP($B195,Tipologias!$A$4:$V$8,6,0),"")</f>
        <v>3</v>
      </c>
      <c r="H195" s="67">
        <f>IFERROR(VLOOKUP($B195,Tipologias!$A$4:$V$8,9,0),"")</f>
        <v>130.044</v>
      </c>
      <c r="I195" s="67">
        <f>IFERROR(VLOOKUP($B195,Tipologias!$A$4:$V$8,10,0),"")</f>
        <v>91.53</v>
      </c>
      <c r="J195" s="67">
        <f>IFERROR(VLOOKUP($B195,Tipologias!$A$4:$V$8,16,0),"")</f>
        <v>238.624</v>
      </c>
      <c r="K195" s="63" t="s">
        <v>105</v>
      </c>
      <c r="L195" s="68"/>
      <c r="M195" s="69" t="str">
        <f>IFERROR(VLOOKUP($B195,Tipologias!$A$4:$V$8,19,0),"")</f>
        <v/>
      </c>
      <c r="N195" s="69" t="str">
        <f t="shared" si="1"/>
        <v/>
      </c>
      <c r="O195" s="69"/>
      <c r="P195" s="68"/>
      <c r="Q195" s="92" t="s">
        <v>622</v>
      </c>
    </row>
    <row r="196" ht="15.75" customHeight="1">
      <c r="A196" s="90" t="s">
        <v>623</v>
      </c>
      <c r="B196" s="62" t="s">
        <v>184</v>
      </c>
      <c r="C196" s="63" t="s">
        <v>545</v>
      </c>
      <c r="D196" s="63">
        <v>2.0</v>
      </c>
      <c r="E196" s="63" t="s">
        <v>57</v>
      </c>
      <c r="F196" s="66">
        <f>IFERROR(VLOOKUP($B196,Tipologias!$A$4:$V$8,5,0),"")</f>
        <v>3</v>
      </c>
      <c r="G196" s="66">
        <f>IFERROR(VLOOKUP($B196,Tipologias!$A$4:$V$8,6,0),"")</f>
        <v>3</v>
      </c>
      <c r="H196" s="67">
        <f>IFERROR(VLOOKUP($B196,Tipologias!$A$4:$V$8,9,0),"")</f>
        <v>130.044</v>
      </c>
      <c r="I196" s="67">
        <f>IFERROR(VLOOKUP($B196,Tipologias!$A$4:$V$8,10,0),"")</f>
        <v>91.53</v>
      </c>
      <c r="J196" s="67">
        <f>IFERROR(VLOOKUP($B196,Tipologias!$A$4:$V$8,16,0),"")</f>
        <v>238.624</v>
      </c>
      <c r="K196" s="63" t="s">
        <v>105</v>
      </c>
      <c r="L196" s="68"/>
      <c r="M196" s="69" t="str">
        <f>IFERROR(VLOOKUP($B196,Tipologias!$A$4:$V$8,19,0),"")</f>
        <v/>
      </c>
      <c r="N196" s="69" t="str">
        <f t="shared" si="1"/>
        <v/>
      </c>
      <c r="O196" s="69"/>
      <c r="P196" s="68"/>
      <c r="Q196" s="92" t="s">
        <v>624</v>
      </c>
    </row>
    <row r="197" ht="15.75" customHeight="1">
      <c r="A197" s="90" t="s">
        <v>625</v>
      </c>
      <c r="B197" s="62" t="s">
        <v>184</v>
      </c>
      <c r="C197" s="63" t="s">
        <v>545</v>
      </c>
      <c r="D197" s="63">
        <v>2.0</v>
      </c>
      <c r="E197" s="63" t="s">
        <v>57</v>
      </c>
      <c r="F197" s="66">
        <f>IFERROR(VLOOKUP($B197,Tipologias!$A$4:$V$8,5,0),"")</f>
        <v>3</v>
      </c>
      <c r="G197" s="66">
        <f>IFERROR(VLOOKUP($B197,Tipologias!$A$4:$V$8,6,0),"")</f>
        <v>3</v>
      </c>
      <c r="H197" s="67">
        <f>IFERROR(VLOOKUP($B197,Tipologias!$A$4:$V$8,9,0),"")</f>
        <v>130.044</v>
      </c>
      <c r="I197" s="67">
        <f>IFERROR(VLOOKUP($B197,Tipologias!$A$4:$V$8,10,0),"")</f>
        <v>91.53</v>
      </c>
      <c r="J197" s="67">
        <f>IFERROR(VLOOKUP($B197,Tipologias!$A$4:$V$8,16,0),"")</f>
        <v>238.624</v>
      </c>
      <c r="K197" s="63" t="s">
        <v>105</v>
      </c>
      <c r="L197" s="68"/>
      <c r="M197" s="69" t="str">
        <f>IFERROR(VLOOKUP($B197,Tipologias!$A$4:$V$8,19,0),"")</f>
        <v/>
      </c>
      <c r="N197" s="69" t="str">
        <f t="shared" si="1"/>
        <v/>
      </c>
      <c r="O197" s="69"/>
      <c r="P197" s="68"/>
      <c r="Q197" s="92" t="s">
        <v>626</v>
      </c>
    </row>
    <row r="198" ht="15.75" customHeight="1">
      <c r="A198" s="90" t="s">
        <v>627</v>
      </c>
      <c r="B198" s="62" t="s">
        <v>184</v>
      </c>
      <c r="C198" s="63" t="s">
        <v>545</v>
      </c>
      <c r="D198" s="63">
        <v>2.0</v>
      </c>
      <c r="E198" s="63" t="s">
        <v>57</v>
      </c>
      <c r="F198" s="66">
        <f>IFERROR(VLOOKUP($B198,Tipologias!$A$4:$V$8,5,0),"")</f>
        <v>3</v>
      </c>
      <c r="G198" s="66">
        <f>IFERROR(VLOOKUP($B198,Tipologias!$A$4:$V$8,6,0),"")</f>
        <v>3</v>
      </c>
      <c r="H198" s="67">
        <f>IFERROR(VLOOKUP($B198,Tipologias!$A$4:$V$8,9,0),"")</f>
        <v>130.044</v>
      </c>
      <c r="I198" s="67">
        <f>IFERROR(VLOOKUP($B198,Tipologias!$A$4:$V$8,10,0),"")</f>
        <v>91.53</v>
      </c>
      <c r="J198" s="67">
        <f>IFERROR(VLOOKUP($B198,Tipologias!$A$4:$V$8,16,0),"")</f>
        <v>238.624</v>
      </c>
      <c r="K198" s="63" t="s">
        <v>105</v>
      </c>
      <c r="L198" s="68"/>
      <c r="M198" s="69" t="str">
        <f>IFERROR(VLOOKUP($B198,Tipologias!$A$4:$V$8,19,0),"")</f>
        <v/>
      </c>
      <c r="N198" s="69" t="str">
        <f t="shared" si="1"/>
        <v/>
      </c>
      <c r="O198" s="69"/>
      <c r="P198" s="68"/>
      <c r="Q198" s="91" t="s">
        <v>628</v>
      </c>
    </row>
    <row r="199" ht="15.75" customHeight="1">
      <c r="A199" s="90" t="s">
        <v>629</v>
      </c>
      <c r="B199" s="62" t="s">
        <v>184</v>
      </c>
      <c r="C199" s="63" t="s">
        <v>545</v>
      </c>
      <c r="D199" s="63">
        <v>2.0</v>
      </c>
      <c r="E199" s="63" t="s">
        <v>57</v>
      </c>
      <c r="F199" s="66">
        <f>IFERROR(VLOOKUP($B199,Tipologias!$A$4:$V$8,5,0),"")</f>
        <v>3</v>
      </c>
      <c r="G199" s="66">
        <f>IFERROR(VLOOKUP($B199,Tipologias!$A$4:$V$8,6,0),"")</f>
        <v>3</v>
      </c>
      <c r="H199" s="67">
        <f>IFERROR(VLOOKUP($B199,Tipologias!$A$4:$V$8,9,0),"")</f>
        <v>130.044</v>
      </c>
      <c r="I199" s="67">
        <f>IFERROR(VLOOKUP($B199,Tipologias!$A$4:$V$8,10,0),"")</f>
        <v>91.53</v>
      </c>
      <c r="J199" s="67">
        <f>IFERROR(VLOOKUP($B199,Tipologias!$A$4:$V$8,16,0),"")</f>
        <v>238.624</v>
      </c>
      <c r="K199" s="63" t="s">
        <v>105</v>
      </c>
      <c r="L199" s="68"/>
      <c r="M199" s="69" t="str">
        <f>IFERROR(VLOOKUP($B199,Tipologias!$A$4:$V$8,19,0),"")</f>
        <v/>
      </c>
      <c r="N199" s="69" t="str">
        <f t="shared" si="1"/>
        <v/>
      </c>
      <c r="O199" s="69"/>
      <c r="P199" s="68"/>
      <c r="Q199" s="92" t="s">
        <v>630</v>
      </c>
    </row>
    <row r="200" ht="15.75" customHeight="1">
      <c r="A200" s="90" t="s">
        <v>631</v>
      </c>
      <c r="B200" s="62" t="s">
        <v>184</v>
      </c>
      <c r="C200" s="63" t="s">
        <v>545</v>
      </c>
      <c r="D200" s="63">
        <v>2.0</v>
      </c>
      <c r="E200" s="63" t="s">
        <v>57</v>
      </c>
      <c r="F200" s="66">
        <f>IFERROR(VLOOKUP($B200,Tipologias!$A$4:$V$8,5,0),"")</f>
        <v>3</v>
      </c>
      <c r="G200" s="66">
        <f>IFERROR(VLOOKUP($B200,Tipologias!$A$4:$V$8,6,0),"")</f>
        <v>3</v>
      </c>
      <c r="H200" s="67">
        <f>IFERROR(VLOOKUP($B200,Tipologias!$A$4:$V$8,9,0),"")</f>
        <v>130.044</v>
      </c>
      <c r="I200" s="67">
        <f>IFERROR(VLOOKUP($B200,Tipologias!$A$4:$V$8,10,0),"")</f>
        <v>91.53</v>
      </c>
      <c r="J200" s="67">
        <f>IFERROR(VLOOKUP($B200,Tipologias!$A$4:$V$8,16,0),"")</f>
        <v>238.624</v>
      </c>
      <c r="K200" s="63" t="s">
        <v>105</v>
      </c>
      <c r="L200" s="68"/>
      <c r="M200" s="69" t="str">
        <f>IFERROR(VLOOKUP($B200,Tipologias!$A$4:$V$8,19,0),"")</f>
        <v/>
      </c>
      <c r="N200" s="69" t="str">
        <f t="shared" si="1"/>
        <v/>
      </c>
      <c r="O200" s="69"/>
      <c r="P200" s="68"/>
      <c r="Q200" s="91" t="s">
        <v>632</v>
      </c>
    </row>
    <row r="201" ht="15.75" customHeight="1">
      <c r="A201" s="90" t="s">
        <v>633</v>
      </c>
      <c r="B201" s="62" t="s">
        <v>184</v>
      </c>
      <c r="C201" s="63" t="s">
        <v>545</v>
      </c>
      <c r="D201" s="63">
        <v>2.0</v>
      </c>
      <c r="E201" s="63" t="s">
        <v>57</v>
      </c>
      <c r="F201" s="66">
        <f>IFERROR(VLOOKUP($B201,Tipologias!$A$4:$V$8,5,0),"")</f>
        <v>3</v>
      </c>
      <c r="G201" s="66">
        <f>IFERROR(VLOOKUP($B201,Tipologias!$A$4:$V$8,6,0),"")</f>
        <v>3</v>
      </c>
      <c r="H201" s="67">
        <f>IFERROR(VLOOKUP($B201,Tipologias!$A$4:$V$8,9,0),"")</f>
        <v>130.044</v>
      </c>
      <c r="I201" s="67">
        <f>IFERROR(VLOOKUP($B201,Tipologias!$A$4:$V$8,10,0),"")</f>
        <v>91.53</v>
      </c>
      <c r="J201" s="67">
        <f>IFERROR(VLOOKUP($B201,Tipologias!$A$4:$V$8,16,0),"")</f>
        <v>238.624</v>
      </c>
      <c r="K201" s="63" t="s">
        <v>105</v>
      </c>
      <c r="L201" s="68"/>
      <c r="M201" s="69" t="str">
        <f>IFERROR(VLOOKUP($B201,Tipologias!$A$4:$V$8,19,0),"")</f>
        <v/>
      </c>
      <c r="N201" s="69" t="str">
        <f t="shared" si="1"/>
        <v/>
      </c>
      <c r="O201" s="69"/>
      <c r="P201" s="68"/>
      <c r="Q201" s="92" t="s">
        <v>634</v>
      </c>
    </row>
    <row r="202" ht="15.75" customHeight="1">
      <c r="A202" s="90" t="s">
        <v>635</v>
      </c>
      <c r="B202" s="62" t="s">
        <v>184</v>
      </c>
      <c r="C202" s="63" t="s">
        <v>545</v>
      </c>
      <c r="D202" s="63">
        <v>2.0</v>
      </c>
      <c r="E202" s="63" t="s">
        <v>57</v>
      </c>
      <c r="F202" s="66">
        <f>IFERROR(VLOOKUP($B202,Tipologias!$A$4:$V$8,5,0),"")</f>
        <v>3</v>
      </c>
      <c r="G202" s="66">
        <f>IFERROR(VLOOKUP($B202,Tipologias!$A$4:$V$8,6,0),"")</f>
        <v>3</v>
      </c>
      <c r="H202" s="67">
        <f>IFERROR(VLOOKUP($B202,Tipologias!$A$4:$V$8,9,0),"")</f>
        <v>130.044</v>
      </c>
      <c r="I202" s="67">
        <f>IFERROR(VLOOKUP($B202,Tipologias!$A$4:$V$8,10,0),"")</f>
        <v>91.53</v>
      </c>
      <c r="J202" s="67">
        <f>IFERROR(VLOOKUP($B202,Tipologias!$A$4:$V$8,16,0),"")</f>
        <v>238.624</v>
      </c>
      <c r="K202" s="63" t="s">
        <v>105</v>
      </c>
      <c r="L202" s="68"/>
      <c r="M202" s="69" t="str">
        <f>IFERROR(VLOOKUP($B202,Tipologias!$A$4:$V$8,19,0),"")</f>
        <v/>
      </c>
      <c r="N202" s="69" t="str">
        <f t="shared" si="1"/>
        <v/>
      </c>
      <c r="O202" s="69"/>
      <c r="P202" s="68"/>
      <c r="Q202" s="92" t="s">
        <v>636</v>
      </c>
    </row>
    <row r="203" ht="15.75" customHeight="1">
      <c r="A203" s="90" t="s">
        <v>637</v>
      </c>
      <c r="B203" s="62" t="s">
        <v>184</v>
      </c>
      <c r="C203" s="63" t="s">
        <v>545</v>
      </c>
      <c r="D203" s="63">
        <v>2.0</v>
      </c>
      <c r="E203" s="63" t="s">
        <v>57</v>
      </c>
      <c r="F203" s="66">
        <f>IFERROR(VLOOKUP($B203,Tipologias!$A$4:$V$8,5,0),"")</f>
        <v>3</v>
      </c>
      <c r="G203" s="66">
        <f>IFERROR(VLOOKUP($B203,Tipologias!$A$4:$V$8,6,0),"")</f>
        <v>3</v>
      </c>
      <c r="H203" s="67">
        <f>IFERROR(VLOOKUP($B203,Tipologias!$A$4:$V$8,9,0),"")</f>
        <v>130.044</v>
      </c>
      <c r="I203" s="67">
        <f>IFERROR(VLOOKUP($B203,Tipologias!$A$4:$V$8,10,0),"")</f>
        <v>91.53</v>
      </c>
      <c r="J203" s="67">
        <f>IFERROR(VLOOKUP($B203,Tipologias!$A$4:$V$8,16,0),"")</f>
        <v>238.624</v>
      </c>
      <c r="K203" s="63" t="s">
        <v>105</v>
      </c>
      <c r="L203" s="68"/>
      <c r="M203" s="69" t="str">
        <f>IFERROR(VLOOKUP($B203,Tipologias!$A$4:$V$8,19,0),"")</f>
        <v/>
      </c>
      <c r="N203" s="69" t="str">
        <f t="shared" si="1"/>
        <v/>
      </c>
      <c r="O203" s="69"/>
      <c r="P203" s="68"/>
      <c r="Q203" s="91" t="s">
        <v>638</v>
      </c>
    </row>
    <row r="204" ht="15.75" customHeight="1">
      <c r="A204" s="90" t="s">
        <v>639</v>
      </c>
      <c r="B204" s="62" t="s">
        <v>184</v>
      </c>
      <c r="C204" s="63" t="s">
        <v>545</v>
      </c>
      <c r="D204" s="63">
        <v>2.0</v>
      </c>
      <c r="E204" s="63" t="s">
        <v>57</v>
      </c>
      <c r="F204" s="66">
        <f>IFERROR(VLOOKUP($B204,Tipologias!$A$4:$V$8,5,0),"")</f>
        <v>3</v>
      </c>
      <c r="G204" s="66">
        <f>IFERROR(VLOOKUP($B204,Tipologias!$A$4:$V$8,6,0),"")</f>
        <v>3</v>
      </c>
      <c r="H204" s="67">
        <f>IFERROR(VLOOKUP($B204,Tipologias!$A$4:$V$8,9,0),"")</f>
        <v>130.044</v>
      </c>
      <c r="I204" s="67">
        <f>IFERROR(VLOOKUP($B204,Tipologias!$A$4:$V$8,10,0),"")</f>
        <v>91.53</v>
      </c>
      <c r="J204" s="67">
        <f>IFERROR(VLOOKUP($B204,Tipologias!$A$4:$V$8,16,0),"")</f>
        <v>238.624</v>
      </c>
      <c r="K204" s="63" t="s">
        <v>105</v>
      </c>
      <c r="L204" s="68"/>
      <c r="M204" s="69" t="str">
        <f>IFERROR(VLOOKUP($B204,Tipologias!$A$4:$V$8,19,0),"")</f>
        <v/>
      </c>
      <c r="N204" s="69" t="str">
        <f t="shared" si="1"/>
        <v/>
      </c>
      <c r="O204" s="69"/>
      <c r="P204" s="68"/>
      <c r="Q204" s="92" t="s">
        <v>640</v>
      </c>
    </row>
    <row r="205" ht="15.75" customHeight="1">
      <c r="A205" s="90" t="s">
        <v>641</v>
      </c>
      <c r="B205" s="62" t="s">
        <v>184</v>
      </c>
      <c r="C205" s="63" t="s">
        <v>545</v>
      </c>
      <c r="D205" s="63">
        <v>2.0</v>
      </c>
      <c r="E205" s="63" t="s">
        <v>57</v>
      </c>
      <c r="F205" s="66">
        <f>IFERROR(VLOOKUP($B205,Tipologias!$A$4:$V$8,5,0),"")</f>
        <v>3</v>
      </c>
      <c r="G205" s="66">
        <f>IFERROR(VLOOKUP($B205,Tipologias!$A$4:$V$8,6,0),"")</f>
        <v>3</v>
      </c>
      <c r="H205" s="67">
        <f>IFERROR(VLOOKUP($B205,Tipologias!$A$4:$V$8,9,0),"")</f>
        <v>130.044</v>
      </c>
      <c r="I205" s="67">
        <f>IFERROR(VLOOKUP($B205,Tipologias!$A$4:$V$8,10,0),"")</f>
        <v>91.53</v>
      </c>
      <c r="J205" s="67">
        <f>IFERROR(VLOOKUP($B205,Tipologias!$A$4:$V$8,16,0),"")</f>
        <v>238.624</v>
      </c>
      <c r="K205" s="63" t="s">
        <v>105</v>
      </c>
      <c r="L205" s="68"/>
      <c r="M205" s="69" t="str">
        <f>IFERROR(VLOOKUP($B205,Tipologias!$A$4:$V$8,19,0),"")</f>
        <v/>
      </c>
      <c r="N205" s="69" t="str">
        <f t="shared" si="1"/>
        <v/>
      </c>
      <c r="O205" s="69"/>
      <c r="P205" s="68"/>
      <c r="Q205" s="92" t="s">
        <v>642</v>
      </c>
    </row>
    <row r="206" ht="15.75" customHeight="1">
      <c r="A206" s="90" t="s">
        <v>643</v>
      </c>
      <c r="B206" s="62" t="s">
        <v>184</v>
      </c>
      <c r="C206" s="63" t="s">
        <v>545</v>
      </c>
      <c r="D206" s="63">
        <v>2.0</v>
      </c>
      <c r="E206" s="63" t="s">
        <v>57</v>
      </c>
      <c r="F206" s="66">
        <f>IFERROR(VLOOKUP($B206,Tipologias!$A$4:$V$8,5,0),"")</f>
        <v>3</v>
      </c>
      <c r="G206" s="66">
        <f>IFERROR(VLOOKUP($B206,Tipologias!$A$4:$V$8,6,0),"")</f>
        <v>3</v>
      </c>
      <c r="H206" s="67">
        <f>IFERROR(VLOOKUP($B206,Tipologias!$A$4:$V$8,9,0),"")</f>
        <v>130.044</v>
      </c>
      <c r="I206" s="67">
        <f>IFERROR(VLOOKUP($B206,Tipologias!$A$4:$V$8,10,0),"")</f>
        <v>91.53</v>
      </c>
      <c r="J206" s="67">
        <f>IFERROR(VLOOKUP($B206,Tipologias!$A$4:$V$8,16,0),"")</f>
        <v>238.624</v>
      </c>
      <c r="K206" s="63" t="s">
        <v>105</v>
      </c>
      <c r="L206" s="68"/>
      <c r="M206" s="69" t="str">
        <f>IFERROR(VLOOKUP($B206,Tipologias!$A$4:$V$8,19,0),"")</f>
        <v/>
      </c>
      <c r="N206" s="69" t="str">
        <f t="shared" si="1"/>
        <v/>
      </c>
      <c r="O206" s="69"/>
      <c r="P206" s="68"/>
      <c r="Q206" s="92" t="s">
        <v>644</v>
      </c>
    </row>
    <row r="207" ht="15.75" customHeight="1">
      <c r="A207" s="90" t="s">
        <v>645</v>
      </c>
      <c r="B207" s="62" t="s">
        <v>184</v>
      </c>
      <c r="C207" s="63" t="s">
        <v>545</v>
      </c>
      <c r="D207" s="63">
        <v>2.0</v>
      </c>
      <c r="E207" s="63" t="s">
        <v>57</v>
      </c>
      <c r="F207" s="66">
        <f>IFERROR(VLOOKUP($B207,Tipologias!$A$4:$V$8,5,0),"")</f>
        <v>3</v>
      </c>
      <c r="G207" s="66">
        <f>IFERROR(VLOOKUP($B207,Tipologias!$A$4:$V$8,6,0),"")</f>
        <v>3</v>
      </c>
      <c r="H207" s="67">
        <f>IFERROR(VLOOKUP($B207,Tipologias!$A$4:$V$8,9,0),"")</f>
        <v>130.044</v>
      </c>
      <c r="I207" s="67">
        <f>IFERROR(VLOOKUP($B207,Tipologias!$A$4:$V$8,10,0),"")</f>
        <v>91.53</v>
      </c>
      <c r="J207" s="67">
        <f>IFERROR(VLOOKUP($B207,Tipologias!$A$4:$V$8,16,0),"")</f>
        <v>238.624</v>
      </c>
      <c r="K207" s="63" t="s">
        <v>105</v>
      </c>
      <c r="L207" s="68"/>
      <c r="M207" s="69" t="str">
        <f>IFERROR(VLOOKUP($B207,Tipologias!$A$4:$V$8,19,0),"")</f>
        <v/>
      </c>
      <c r="N207" s="69" t="str">
        <f t="shared" si="1"/>
        <v/>
      </c>
      <c r="O207" s="69"/>
      <c r="P207" s="68"/>
      <c r="Q207" s="91" t="s">
        <v>646</v>
      </c>
    </row>
    <row r="208" ht="15.75" customHeight="1">
      <c r="A208" s="90" t="s">
        <v>647</v>
      </c>
      <c r="B208" s="62" t="s">
        <v>184</v>
      </c>
      <c r="C208" s="63" t="s">
        <v>545</v>
      </c>
      <c r="D208" s="63">
        <v>2.0</v>
      </c>
      <c r="E208" s="63" t="s">
        <v>57</v>
      </c>
      <c r="F208" s="66">
        <f>IFERROR(VLOOKUP($B208,Tipologias!$A$4:$V$8,5,0),"")</f>
        <v>3</v>
      </c>
      <c r="G208" s="66">
        <f>IFERROR(VLOOKUP($B208,Tipologias!$A$4:$V$8,6,0),"")</f>
        <v>3</v>
      </c>
      <c r="H208" s="67">
        <f>IFERROR(VLOOKUP($B208,Tipologias!$A$4:$V$8,9,0),"")</f>
        <v>130.044</v>
      </c>
      <c r="I208" s="67">
        <f>IFERROR(VLOOKUP($B208,Tipologias!$A$4:$V$8,10,0),"")</f>
        <v>91.53</v>
      </c>
      <c r="J208" s="67">
        <f>IFERROR(VLOOKUP($B208,Tipologias!$A$4:$V$8,16,0),"")</f>
        <v>238.624</v>
      </c>
      <c r="K208" s="63" t="s">
        <v>105</v>
      </c>
      <c r="L208" s="68"/>
      <c r="M208" s="69" t="str">
        <f>IFERROR(VLOOKUP($B208,Tipologias!$A$4:$V$8,19,0),"")</f>
        <v/>
      </c>
      <c r="N208" s="69" t="str">
        <f t="shared" si="1"/>
        <v/>
      </c>
      <c r="O208" s="69"/>
      <c r="P208" s="68"/>
      <c r="Q208" s="92" t="s">
        <v>648</v>
      </c>
    </row>
    <row r="209" ht="15.75" customHeight="1">
      <c r="A209" s="90" t="s">
        <v>649</v>
      </c>
      <c r="B209" s="62" t="s">
        <v>184</v>
      </c>
      <c r="C209" s="63" t="s">
        <v>545</v>
      </c>
      <c r="D209" s="63">
        <v>2.0</v>
      </c>
      <c r="E209" s="63" t="s">
        <v>57</v>
      </c>
      <c r="F209" s="66">
        <f>IFERROR(VLOOKUP($B209,Tipologias!$A$4:$V$8,5,0),"")</f>
        <v>3</v>
      </c>
      <c r="G209" s="66">
        <f>IFERROR(VLOOKUP($B209,Tipologias!$A$4:$V$8,6,0),"")</f>
        <v>3</v>
      </c>
      <c r="H209" s="67">
        <f>IFERROR(VLOOKUP($B209,Tipologias!$A$4:$V$8,9,0),"")</f>
        <v>130.044</v>
      </c>
      <c r="I209" s="67">
        <f>IFERROR(VLOOKUP($B209,Tipologias!$A$4:$V$8,10,0),"")</f>
        <v>91.53</v>
      </c>
      <c r="J209" s="67">
        <f>IFERROR(VLOOKUP($B209,Tipologias!$A$4:$V$8,16,0),"")</f>
        <v>238.624</v>
      </c>
      <c r="K209" s="63" t="s">
        <v>105</v>
      </c>
      <c r="L209" s="68"/>
      <c r="M209" s="69" t="str">
        <f>IFERROR(VLOOKUP($B209,Tipologias!$A$4:$V$8,19,0),"")</f>
        <v/>
      </c>
      <c r="N209" s="69" t="str">
        <f t="shared" si="1"/>
        <v/>
      </c>
      <c r="O209" s="69"/>
      <c r="P209" s="68"/>
      <c r="Q209" s="92" t="s">
        <v>650</v>
      </c>
    </row>
    <row r="210" ht="15.75" customHeight="1">
      <c r="A210" s="90" t="s">
        <v>651</v>
      </c>
      <c r="B210" s="62" t="s">
        <v>184</v>
      </c>
      <c r="C210" s="63" t="s">
        <v>545</v>
      </c>
      <c r="D210" s="63">
        <v>2.0</v>
      </c>
      <c r="E210" s="63" t="s">
        <v>57</v>
      </c>
      <c r="F210" s="66">
        <f>IFERROR(VLOOKUP($B210,Tipologias!$A$4:$V$8,5,0),"")</f>
        <v>3</v>
      </c>
      <c r="G210" s="66">
        <f>IFERROR(VLOOKUP($B210,Tipologias!$A$4:$V$8,6,0),"")</f>
        <v>3</v>
      </c>
      <c r="H210" s="67">
        <f>IFERROR(VLOOKUP($B210,Tipologias!$A$4:$V$8,9,0),"")</f>
        <v>130.044</v>
      </c>
      <c r="I210" s="67">
        <f>IFERROR(VLOOKUP($B210,Tipologias!$A$4:$V$8,10,0),"")</f>
        <v>91.53</v>
      </c>
      <c r="J210" s="67">
        <f>IFERROR(VLOOKUP($B210,Tipologias!$A$4:$V$8,16,0),"")</f>
        <v>238.624</v>
      </c>
      <c r="K210" s="63" t="s">
        <v>105</v>
      </c>
      <c r="L210" s="68"/>
      <c r="M210" s="69" t="str">
        <f>IFERROR(VLOOKUP($B210,Tipologias!$A$4:$V$8,19,0),"")</f>
        <v/>
      </c>
      <c r="N210" s="69" t="str">
        <f t="shared" si="1"/>
        <v/>
      </c>
      <c r="O210" s="69"/>
      <c r="P210" s="68"/>
      <c r="Q210" s="92" t="s">
        <v>652</v>
      </c>
    </row>
    <row r="211" ht="15.75" customHeight="1">
      <c r="A211" s="90" t="s">
        <v>653</v>
      </c>
      <c r="B211" s="62" t="s">
        <v>184</v>
      </c>
      <c r="C211" s="63" t="s">
        <v>545</v>
      </c>
      <c r="D211" s="63">
        <v>2.0</v>
      </c>
      <c r="E211" s="63" t="s">
        <v>57</v>
      </c>
      <c r="F211" s="66">
        <f>IFERROR(VLOOKUP($B211,Tipologias!$A$4:$V$8,5,0),"")</f>
        <v>3</v>
      </c>
      <c r="G211" s="66">
        <f>IFERROR(VLOOKUP($B211,Tipologias!$A$4:$V$8,6,0),"")</f>
        <v>3</v>
      </c>
      <c r="H211" s="67">
        <f>IFERROR(VLOOKUP($B211,Tipologias!$A$4:$V$8,9,0),"")</f>
        <v>130.044</v>
      </c>
      <c r="I211" s="67">
        <f>IFERROR(VLOOKUP($B211,Tipologias!$A$4:$V$8,10,0),"")</f>
        <v>91.53</v>
      </c>
      <c r="J211" s="67">
        <f>IFERROR(VLOOKUP($B211,Tipologias!$A$4:$V$8,16,0),"")</f>
        <v>238.624</v>
      </c>
      <c r="K211" s="63" t="s">
        <v>105</v>
      </c>
      <c r="L211" s="68"/>
      <c r="M211" s="69" t="str">
        <f>IFERROR(VLOOKUP($B211,Tipologias!$A$4:$V$8,19,0),"")</f>
        <v/>
      </c>
      <c r="N211" s="69" t="str">
        <f t="shared" si="1"/>
        <v/>
      </c>
      <c r="O211" s="69"/>
      <c r="P211" s="68"/>
      <c r="Q211" s="91" t="s">
        <v>654</v>
      </c>
    </row>
    <row r="212" ht="15.75" customHeight="1">
      <c r="A212" s="90" t="s">
        <v>655</v>
      </c>
      <c r="B212" s="62" t="s">
        <v>184</v>
      </c>
      <c r="C212" s="63" t="s">
        <v>545</v>
      </c>
      <c r="D212" s="63">
        <v>2.0</v>
      </c>
      <c r="E212" s="63" t="s">
        <v>57</v>
      </c>
      <c r="F212" s="66">
        <f>IFERROR(VLOOKUP($B212,Tipologias!$A$4:$V$8,5,0),"")</f>
        <v>3</v>
      </c>
      <c r="G212" s="66">
        <f>IFERROR(VLOOKUP($B212,Tipologias!$A$4:$V$8,6,0),"")</f>
        <v>3</v>
      </c>
      <c r="H212" s="67">
        <f>IFERROR(VLOOKUP($B212,Tipologias!$A$4:$V$8,9,0),"")</f>
        <v>130.044</v>
      </c>
      <c r="I212" s="67">
        <f>IFERROR(VLOOKUP($B212,Tipologias!$A$4:$V$8,10,0),"")</f>
        <v>91.53</v>
      </c>
      <c r="J212" s="67">
        <f>IFERROR(VLOOKUP($B212,Tipologias!$A$4:$V$8,16,0),"")</f>
        <v>238.624</v>
      </c>
      <c r="K212" s="63" t="s">
        <v>105</v>
      </c>
      <c r="L212" s="68"/>
      <c r="M212" s="69" t="str">
        <f>IFERROR(VLOOKUP($B212,Tipologias!$A$4:$V$8,19,0),"")</f>
        <v/>
      </c>
      <c r="N212" s="69" t="str">
        <f t="shared" si="1"/>
        <v/>
      </c>
      <c r="O212" s="69"/>
      <c r="P212" s="68"/>
      <c r="Q212" s="91" t="s">
        <v>656</v>
      </c>
    </row>
    <row r="213" ht="15.75" customHeight="1">
      <c r="A213" s="90" t="s">
        <v>657</v>
      </c>
      <c r="B213" s="62" t="s">
        <v>184</v>
      </c>
      <c r="C213" s="63" t="s">
        <v>484</v>
      </c>
      <c r="D213" s="63">
        <v>2.0</v>
      </c>
      <c r="E213" s="63" t="s">
        <v>57</v>
      </c>
      <c r="F213" s="66">
        <f>IFERROR(VLOOKUP($B213,Tipologias!$A$4:$V$8,5,0),"")</f>
        <v>3</v>
      </c>
      <c r="G213" s="66">
        <f>IFERROR(VLOOKUP($B213,Tipologias!$A$4:$V$8,6,0),"")</f>
        <v>3</v>
      </c>
      <c r="H213" s="67">
        <f>IFERROR(VLOOKUP($B213,Tipologias!$A$4:$V$8,9,0),"")</f>
        <v>130.044</v>
      </c>
      <c r="I213" s="67">
        <f>IFERROR(VLOOKUP($B213,Tipologias!$A$4:$V$8,10,0),"")</f>
        <v>91.53</v>
      </c>
      <c r="J213" s="67">
        <f>IFERROR(VLOOKUP($B213,Tipologias!$A$4:$V$8,16,0),"")</f>
        <v>238.624</v>
      </c>
      <c r="K213" s="63" t="s">
        <v>105</v>
      </c>
      <c r="L213" s="68"/>
      <c r="M213" s="69" t="str">
        <f>IFERROR(VLOOKUP($B213,Tipologias!$A$4:$V$8,19,0),"")</f>
        <v/>
      </c>
      <c r="N213" s="69" t="str">
        <f t="shared" si="1"/>
        <v/>
      </c>
      <c r="O213" s="69"/>
      <c r="P213" s="68"/>
      <c r="Q213" s="91" t="s">
        <v>658</v>
      </c>
    </row>
    <row r="214" ht="15.75" customHeight="1">
      <c r="A214" s="90" t="s">
        <v>659</v>
      </c>
      <c r="B214" s="62" t="s">
        <v>184</v>
      </c>
      <c r="C214" s="63" t="s">
        <v>484</v>
      </c>
      <c r="D214" s="63">
        <v>2.0</v>
      </c>
      <c r="E214" s="63" t="s">
        <v>57</v>
      </c>
      <c r="F214" s="66">
        <f>IFERROR(VLOOKUP($B214,Tipologias!$A$4:$V$8,5,0),"")</f>
        <v>3</v>
      </c>
      <c r="G214" s="66">
        <f>IFERROR(VLOOKUP($B214,Tipologias!$A$4:$V$8,6,0),"")</f>
        <v>3</v>
      </c>
      <c r="H214" s="67">
        <f>IFERROR(VLOOKUP($B214,Tipologias!$A$4:$V$8,9,0),"")</f>
        <v>130.044</v>
      </c>
      <c r="I214" s="67">
        <f>IFERROR(VLOOKUP($B214,Tipologias!$A$4:$V$8,10,0),"")</f>
        <v>91.53</v>
      </c>
      <c r="J214" s="67">
        <f>IFERROR(VLOOKUP($B214,Tipologias!$A$4:$V$8,16,0),"")</f>
        <v>238.624</v>
      </c>
      <c r="K214" s="63" t="s">
        <v>105</v>
      </c>
      <c r="L214" s="68"/>
      <c r="M214" s="69" t="str">
        <f>IFERROR(VLOOKUP($B214,Tipologias!$A$4:$V$8,19,0),"")</f>
        <v/>
      </c>
      <c r="N214" s="69" t="str">
        <f t="shared" si="1"/>
        <v/>
      </c>
      <c r="O214" s="69"/>
      <c r="P214" s="68"/>
      <c r="Q214" s="91" t="s">
        <v>660</v>
      </c>
    </row>
    <row r="215" ht="15.75" customHeight="1">
      <c r="A215" s="90" t="s">
        <v>661</v>
      </c>
      <c r="B215" s="62" t="s">
        <v>184</v>
      </c>
      <c r="C215" s="63" t="s">
        <v>484</v>
      </c>
      <c r="D215" s="63">
        <v>2.0</v>
      </c>
      <c r="E215" s="63" t="s">
        <v>57</v>
      </c>
      <c r="F215" s="66">
        <f>IFERROR(VLOOKUP($B215,Tipologias!$A$4:$V$8,5,0),"")</f>
        <v>3</v>
      </c>
      <c r="G215" s="66">
        <f>IFERROR(VLOOKUP($B215,Tipologias!$A$4:$V$8,6,0),"")</f>
        <v>3</v>
      </c>
      <c r="H215" s="67">
        <f>IFERROR(VLOOKUP($B215,Tipologias!$A$4:$V$8,9,0),"")</f>
        <v>130.044</v>
      </c>
      <c r="I215" s="67">
        <f>IFERROR(VLOOKUP($B215,Tipologias!$A$4:$V$8,10,0),"")</f>
        <v>91.53</v>
      </c>
      <c r="J215" s="67">
        <f>IFERROR(VLOOKUP($B215,Tipologias!$A$4:$V$8,16,0),"")</f>
        <v>238.624</v>
      </c>
      <c r="K215" s="63" t="s">
        <v>105</v>
      </c>
      <c r="L215" s="68"/>
      <c r="M215" s="69" t="str">
        <f>IFERROR(VLOOKUP($B215,Tipologias!$A$4:$V$8,19,0),"")</f>
        <v/>
      </c>
      <c r="N215" s="69" t="str">
        <f t="shared" si="1"/>
        <v/>
      </c>
      <c r="O215" s="69"/>
      <c r="P215" s="68"/>
      <c r="Q215" s="91" t="s">
        <v>662</v>
      </c>
    </row>
    <row r="216" ht="15.75" customHeight="1">
      <c r="A216" s="90" t="s">
        <v>663</v>
      </c>
      <c r="B216" s="62" t="s">
        <v>184</v>
      </c>
      <c r="C216" s="63" t="s">
        <v>484</v>
      </c>
      <c r="D216" s="63">
        <v>2.0</v>
      </c>
      <c r="E216" s="63" t="s">
        <v>57</v>
      </c>
      <c r="F216" s="66">
        <f>IFERROR(VLOOKUP($B216,Tipologias!$A$4:$V$8,5,0),"")</f>
        <v>3</v>
      </c>
      <c r="G216" s="66">
        <f>IFERROR(VLOOKUP($B216,Tipologias!$A$4:$V$8,6,0),"")</f>
        <v>3</v>
      </c>
      <c r="H216" s="67">
        <f>IFERROR(VLOOKUP($B216,Tipologias!$A$4:$V$8,9,0),"")</f>
        <v>130.044</v>
      </c>
      <c r="I216" s="67">
        <f>IFERROR(VLOOKUP($B216,Tipologias!$A$4:$V$8,10,0),"")</f>
        <v>91.53</v>
      </c>
      <c r="J216" s="67">
        <f>IFERROR(VLOOKUP($B216,Tipologias!$A$4:$V$8,16,0),"")</f>
        <v>238.624</v>
      </c>
      <c r="K216" s="63" t="s">
        <v>105</v>
      </c>
      <c r="L216" s="68"/>
      <c r="M216" s="69" t="str">
        <f>IFERROR(VLOOKUP($B216,Tipologias!$A$4:$V$8,19,0),"")</f>
        <v/>
      </c>
      <c r="N216" s="69" t="str">
        <f t="shared" si="1"/>
        <v/>
      </c>
      <c r="O216" s="69"/>
      <c r="P216" s="68"/>
      <c r="Q216" s="91" t="s">
        <v>664</v>
      </c>
    </row>
    <row r="217" ht="15.75" customHeight="1">
      <c r="A217" s="90" t="s">
        <v>665</v>
      </c>
      <c r="B217" s="62" t="s">
        <v>184</v>
      </c>
      <c r="C217" s="63" t="s">
        <v>484</v>
      </c>
      <c r="D217" s="63">
        <v>2.0</v>
      </c>
      <c r="E217" s="63" t="s">
        <v>57</v>
      </c>
      <c r="F217" s="66">
        <f>IFERROR(VLOOKUP($B217,Tipologias!$A$4:$V$8,5,0),"")</f>
        <v>3</v>
      </c>
      <c r="G217" s="66">
        <f>IFERROR(VLOOKUP($B217,Tipologias!$A$4:$V$8,6,0),"")</f>
        <v>3</v>
      </c>
      <c r="H217" s="67">
        <f>IFERROR(VLOOKUP($B217,Tipologias!$A$4:$V$8,9,0),"")</f>
        <v>130.044</v>
      </c>
      <c r="I217" s="67">
        <f>IFERROR(VLOOKUP($B217,Tipologias!$A$4:$V$8,10,0),"")</f>
        <v>91.53</v>
      </c>
      <c r="J217" s="67">
        <f>IFERROR(VLOOKUP($B217,Tipologias!$A$4:$V$8,16,0),"")</f>
        <v>238.624</v>
      </c>
      <c r="K217" s="63" t="s">
        <v>105</v>
      </c>
      <c r="L217" s="68"/>
      <c r="M217" s="69" t="str">
        <f>IFERROR(VLOOKUP($B217,Tipologias!$A$4:$V$8,19,0),"")</f>
        <v/>
      </c>
      <c r="N217" s="69" t="str">
        <f t="shared" si="1"/>
        <v/>
      </c>
      <c r="O217" s="69"/>
      <c r="P217" s="68"/>
      <c r="Q217" s="91" t="s">
        <v>666</v>
      </c>
    </row>
    <row r="218" ht="15.75" customHeight="1">
      <c r="A218" s="90" t="s">
        <v>667</v>
      </c>
      <c r="B218" s="62" t="s">
        <v>184</v>
      </c>
      <c r="C218" s="63" t="s">
        <v>484</v>
      </c>
      <c r="D218" s="63">
        <v>2.0</v>
      </c>
      <c r="E218" s="63" t="s">
        <v>57</v>
      </c>
      <c r="F218" s="66">
        <f>IFERROR(VLOOKUP($B218,Tipologias!$A$4:$V$8,5,0),"")</f>
        <v>3</v>
      </c>
      <c r="G218" s="66">
        <f>IFERROR(VLOOKUP($B218,Tipologias!$A$4:$V$8,6,0),"")</f>
        <v>3</v>
      </c>
      <c r="H218" s="67">
        <f>IFERROR(VLOOKUP($B218,Tipologias!$A$4:$V$8,9,0),"")</f>
        <v>130.044</v>
      </c>
      <c r="I218" s="67">
        <f>IFERROR(VLOOKUP($B218,Tipologias!$A$4:$V$8,10,0),"")</f>
        <v>91.53</v>
      </c>
      <c r="J218" s="67">
        <f>IFERROR(VLOOKUP($B218,Tipologias!$A$4:$V$8,16,0),"")</f>
        <v>238.624</v>
      </c>
      <c r="K218" s="63" t="s">
        <v>105</v>
      </c>
      <c r="L218" s="68"/>
      <c r="M218" s="69" t="str">
        <f>IFERROR(VLOOKUP($B218,Tipologias!$A$4:$V$8,19,0),"")</f>
        <v/>
      </c>
      <c r="N218" s="69" t="str">
        <f t="shared" si="1"/>
        <v/>
      </c>
      <c r="O218" s="69"/>
      <c r="P218" s="68"/>
      <c r="Q218" s="91" t="s">
        <v>668</v>
      </c>
    </row>
    <row r="219" ht="15.75" customHeight="1">
      <c r="A219" s="90" t="s">
        <v>669</v>
      </c>
      <c r="B219" s="62" t="s">
        <v>184</v>
      </c>
      <c r="C219" s="63" t="s">
        <v>484</v>
      </c>
      <c r="D219" s="63">
        <v>2.0</v>
      </c>
      <c r="E219" s="63" t="s">
        <v>57</v>
      </c>
      <c r="F219" s="66">
        <f>IFERROR(VLOOKUP($B219,Tipologias!$A$4:$V$8,5,0),"")</f>
        <v>3</v>
      </c>
      <c r="G219" s="66">
        <f>IFERROR(VLOOKUP($B219,Tipologias!$A$4:$V$8,6,0),"")</f>
        <v>3</v>
      </c>
      <c r="H219" s="67">
        <f>IFERROR(VLOOKUP($B219,Tipologias!$A$4:$V$8,9,0),"")</f>
        <v>130.044</v>
      </c>
      <c r="I219" s="67">
        <f>IFERROR(VLOOKUP($B219,Tipologias!$A$4:$V$8,10,0),"")</f>
        <v>91.53</v>
      </c>
      <c r="J219" s="67">
        <f>IFERROR(VLOOKUP($B219,Tipologias!$A$4:$V$8,16,0),"")</f>
        <v>238.624</v>
      </c>
      <c r="K219" s="63" t="s">
        <v>105</v>
      </c>
      <c r="L219" s="68"/>
      <c r="M219" s="69" t="str">
        <f>IFERROR(VLOOKUP($B219,Tipologias!$A$4:$V$8,19,0),"")</f>
        <v/>
      </c>
      <c r="N219" s="69" t="str">
        <f t="shared" si="1"/>
        <v/>
      </c>
      <c r="O219" s="69"/>
      <c r="P219" s="68"/>
      <c r="Q219" s="91" t="s">
        <v>670</v>
      </c>
    </row>
    <row r="220" ht="15.75" customHeight="1">
      <c r="A220" s="90" t="s">
        <v>671</v>
      </c>
      <c r="B220" s="62" t="s">
        <v>184</v>
      </c>
      <c r="C220" s="63" t="s">
        <v>484</v>
      </c>
      <c r="D220" s="63">
        <v>2.0</v>
      </c>
      <c r="E220" s="63" t="s">
        <v>57</v>
      </c>
      <c r="F220" s="66">
        <f>IFERROR(VLOOKUP($B220,Tipologias!$A$4:$V$8,5,0),"")</f>
        <v>3</v>
      </c>
      <c r="G220" s="66">
        <f>IFERROR(VLOOKUP($B220,Tipologias!$A$4:$V$8,6,0),"")</f>
        <v>3</v>
      </c>
      <c r="H220" s="67">
        <f>IFERROR(VLOOKUP($B220,Tipologias!$A$4:$V$8,9,0),"")</f>
        <v>130.044</v>
      </c>
      <c r="I220" s="67">
        <f>IFERROR(VLOOKUP($B220,Tipologias!$A$4:$V$8,10,0),"")</f>
        <v>91.53</v>
      </c>
      <c r="J220" s="67">
        <f>IFERROR(VLOOKUP($B220,Tipologias!$A$4:$V$8,16,0),"")</f>
        <v>238.624</v>
      </c>
      <c r="K220" s="63" t="s">
        <v>105</v>
      </c>
      <c r="L220" s="68"/>
      <c r="M220" s="69" t="str">
        <f>IFERROR(VLOOKUP($B220,Tipologias!$A$4:$V$8,19,0),"")</f>
        <v/>
      </c>
      <c r="N220" s="69" t="str">
        <f t="shared" si="1"/>
        <v/>
      </c>
      <c r="O220" s="69"/>
      <c r="P220" s="68"/>
      <c r="Q220" s="91" t="s">
        <v>672</v>
      </c>
    </row>
    <row r="221" ht="15.75" customHeight="1">
      <c r="A221" s="90" t="s">
        <v>673</v>
      </c>
      <c r="B221" s="62" t="s">
        <v>184</v>
      </c>
      <c r="C221" s="63" t="s">
        <v>484</v>
      </c>
      <c r="D221" s="63">
        <v>2.0</v>
      </c>
      <c r="E221" s="63" t="s">
        <v>57</v>
      </c>
      <c r="F221" s="66">
        <f>IFERROR(VLOOKUP($B221,Tipologias!$A$4:$V$8,5,0),"")</f>
        <v>3</v>
      </c>
      <c r="G221" s="66">
        <f>IFERROR(VLOOKUP($B221,Tipologias!$A$4:$V$8,6,0),"")</f>
        <v>3</v>
      </c>
      <c r="H221" s="67">
        <f>IFERROR(VLOOKUP($B221,Tipologias!$A$4:$V$8,9,0),"")</f>
        <v>130.044</v>
      </c>
      <c r="I221" s="67">
        <f>IFERROR(VLOOKUP($B221,Tipologias!$A$4:$V$8,10,0),"")</f>
        <v>91.53</v>
      </c>
      <c r="J221" s="67">
        <f>IFERROR(VLOOKUP($B221,Tipologias!$A$4:$V$8,16,0),"")</f>
        <v>238.624</v>
      </c>
      <c r="K221" s="63" t="s">
        <v>105</v>
      </c>
      <c r="L221" s="68"/>
      <c r="M221" s="69" t="str">
        <f>IFERROR(VLOOKUP($B221,Tipologias!$A$4:$V$8,19,0),"")</f>
        <v/>
      </c>
      <c r="N221" s="69" t="str">
        <f t="shared" si="1"/>
        <v/>
      </c>
      <c r="O221" s="69"/>
      <c r="P221" s="68"/>
      <c r="Q221" s="91" t="s">
        <v>674</v>
      </c>
    </row>
    <row r="222" ht="15.75" customHeight="1">
      <c r="A222" s="90" t="s">
        <v>675</v>
      </c>
      <c r="B222" s="62" t="s">
        <v>184</v>
      </c>
      <c r="C222" s="63" t="s">
        <v>484</v>
      </c>
      <c r="D222" s="63">
        <v>2.0</v>
      </c>
      <c r="E222" s="63" t="s">
        <v>57</v>
      </c>
      <c r="F222" s="66">
        <f>IFERROR(VLOOKUP($B222,Tipologias!$A$4:$V$8,5,0),"")</f>
        <v>3</v>
      </c>
      <c r="G222" s="66">
        <f>IFERROR(VLOOKUP($B222,Tipologias!$A$4:$V$8,6,0),"")</f>
        <v>3</v>
      </c>
      <c r="H222" s="67">
        <f>IFERROR(VLOOKUP($B222,Tipologias!$A$4:$V$8,9,0),"")</f>
        <v>130.044</v>
      </c>
      <c r="I222" s="67">
        <f>IFERROR(VLOOKUP($B222,Tipologias!$A$4:$V$8,10,0),"")</f>
        <v>91.53</v>
      </c>
      <c r="J222" s="67">
        <f>IFERROR(VLOOKUP($B222,Tipologias!$A$4:$V$8,16,0),"")</f>
        <v>238.624</v>
      </c>
      <c r="K222" s="63" t="s">
        <v>105</v>
      </c>
      <c r="L222" s="68"/>
      <c r="M222" s="69" t="str">
        <f>IFERROR(VLOOKUP($B222,Tipologias!$A$4:$V$8,19,0),"")</f>
        <v/>
      </c>
      <c r="N222" s="69" t="str">
        <f t="shared" si="1"/>
        <v/>
      </c>
      <c r="O222" s="69"/>
      <c r="P222" s="68"/>
      <c r="Q222" s="91" t="s">
        <v>676</v>
      </c>
    </row>
    <row r="223" ht="15.75" customHeight="1">
      <c r="A223" s="90" t="s">
        <v>677</v>
      </c>
      <c r="B223" s="62" t="s">
        <v>184</v>
      </c>
      <c r="C223" s="63" t="s">
        <v>484</v>
      </c>
      <c r="D223" s="63">
        <v>2.0</v>
      </c>
      <c r="E223" s="63" t="s">
        <v>57</v>
      </c>
      <c r="F223" s="66">
        <f>IFERROR(VLOOKUP($B223,Tipologias!$A$4:$V$8,5,0),"")</f>
        <v>3</v>
      </c>
      <c r="G223" s="66">
        <f>IFERROR(VLOOKUP($B223,Tipologias!$A$4:$V$8,6,0),"")</f>
        <v>3</v>
      </c>
      <c r="H223" s="67">
        <f>IFERROR(VLOOKUP($B223,Tipologias!$A$4:$V$8,9,0),"")</f>
        <v>130.044</v>
      </c>
      <c r="I223" s="67">
        <f>IFERROR(VLOOKUP($B223,Tipologias!$A$4:$V$8,10,0),"")</f>
        <v>91.53</v>
      </c>
      <c r="J223" s="67">
        <f>IFERROR(VLOOKUP($B223,Tipologias!$A$4:$V$8,16,0),"")</f>
        <v>238.624</v>
      </c>
      <c r="K223" s="63" t="s">
        <v>105</v>
      </c>
      <c r="L223" s="68"/>
      <c r="M223" s="69" t="str">
        <f>IFERROR(VLOOKUP($B223,Tipologias!$A$4:$V$8,19,0),"")</f>
        <v/>
      </c>
      <c r="N223" s="69" t="str">
        <f t="shared" si="1"/>
        <v/>
      </c>
      <c r="O223" s="69"/>
      <c r="P223" s="68"/>
      <c r="Q223" s="91" t="s">
        <v>678</v>
      </c>
    </row>
    <row r="224" ht="15.75" customHeight="1">
      <c r="A224" s="90" t="s">
        <v>679</v>
      </c>
      <c r="B224" s="62" t="s">
        <v>184</v>
      </c>
      <c r="C224" s="63" t="s">
        <v>484</v>
      </c>
      <c r="D224" s="63">
        <v>2.0</v>
      </c>
      <c r="E224" s="63" t="s">
        <v>57</v>
      </c>
      <c r="F224" s="66">
        <f>IFERROR(VLOOKUP($B224,Tipologias!$A$4:$V$8,5,0),"")</f>
        <v>3</v>
      </c>
      <c r="G224" s="66">
        <f>IFERROR(VLOOKUP($B224,Tipologias!$A$4:$V$8,6,0),"")</f>
        <v>3</v>
      </c>
      <c r="H224" s="67">
        <f>IFERROR(VLOOKUP($B224,Tipologias!$A$4:$V$8,9,0),"")</f>
        <v>130.044</v>
      </c>
      <c r="I224" s="67">
        <f>IFERROR(VLOOKUP($B224,Tipologias!$A$4:$V$8,10,0),"")</f>
        <v>91.53</v>
      </c>
      <c r="J224" s="67">
        <f>IFERROR(VLOOKUP($B224,Tipologias!$A$4:$V$8,16,0),"")</f>
        <v>238.624</v>
      </c>
      <c r="K224" s="63" t="s">
        <v>105</v>
      </c>
      <c r="L224" s="68"/>
      <c r="M224" s="69" t="str">
        <f>IFERROR(VLOOKUP($B224,Tipologias!$A$4:$V$8,19,0),"")</f>
        <v/>
      </c>
      <c r="N224" s="69" t="str">
        <f t="shared" si="1"/>
        <v/>
      </c>
      <c r="O224" s="69"/>
      <c r="P224" s="68"/>
      <c r="Q224" s="91" t="s">
        <v>680</v>
      </c>
    </row>
    <row r="225" ht="15.75" customHeight="1">
      <c r="A225" s="90" t="s">
        <v>681</v>
      </c>
      <c r="B225" s="62" t="s">
        <v>184</v>
      </c>
      <c r="C225" s="63" t="s">
        <v>484</v>
      </c>
      <c r="D225" s="63">
        <v>2.0</v>
      </c>
      <c r="E225" s="63" t="s">
        <v>57</v>
      </c>
      <c r="F225" s="66">
        <f>IFERROR(VLOOKUP($B225,Tipologias!$A$4:$V$8,5,0),"")</f>
        <v>3</v>
      </c>
      <c r="G225" s="66">
        <f>IFERROR(VLOOKUP($B225,Tipologias!$A$4:$V$8,6,0),"")</f>
        <v>3</v>
      </c>
      <c r="H225" s="67">
        <f>IFERROR(VLOOKUP($B225,Tipologias!$A$4:$V$8,9,0),"")</f>
        <v>130.044</v>
      </c>
      <c r="I225" s="67">
        <f>IFERROR(VLOOKUP($B225,Tipologias!$A$4:$V$8,10,0),"")</f>
        <v>91.53</v>
      </c>
      <c r="J225" s="67">
        <f>IFERROR(VLOOKUP($B225,Tipologias!$A$4:$V$8,16,0),"")</f>
        <v>238.624</v>
      </c>
      <c r="K225" s="63" t="s">
        <v>105</v>
      </c>
      <c r="L225" s="68"/>
      <c r="M225" s="69" t="str">
        <f>IFERROR(VLOOKUP($B225,Tipologias!$A$4:$V$8,19,0),"")</f>
        <v/>
      </c>
      <c r="N225" s="69" t="str">
        <f t="shared" si="1"/>
        <v/>
      </c>
      <c r="O225" s="69"/>
      <c r="P225" s="68"/>
      <c r="Q225" s="91" t="s">
        <v>682</v>
      </c>
    </row>
    <row r="226" ht="15.75" customHeight="1">
      <c r="A226" s="90" t="s">
        <v>683</v>
      </c>
      <c r="B226" s="62" t="s">
        <v>184</v>
      </c>
      <c r="C226" s="63" t="s">
        <v>484</v>
      </c>
      <c r="D226" s="63">
        <v>2.0</v>
      </c>
      <c r="E226" s="63" t="s">
        <v>57</v>
      </c>
      <c r="F226" s="66">
        <f>IFERROR(VLOOKUP($B226,Tipologias!$A$4:$V$8,5,0),"")</f>
        <v>3</v>
      </c>
      <c r="G226" s="66">
        <f>IFERROR(VLOOKUP($B226,Tipologias!$A$4:$V$8,6,0),"")</f>
        <v>3</v>
      </c>
      <c r="H226" s="67">
        <f>IFERROR(VLOOKUP($B226,Tipologias!$A$4:$V$8,9,0),"")</f>
        <v>130.044</v>
      </c>
      <c r="I226" s="67">
        <f>IFERROR(VLOOKUP($B226,Tipologias!$A$4:$V$8,10,0),"")</f>
        <v>91.53</v>
      </c>
      <c r="J226" s="67">
        <f>IFERROR(VLOOKUP($B226,Tipologias!$A$4:$V$8,16,0),"")</f>
        <v>238.624</v>
      </c>
      <c r="K226" s="63" t="s">
        <v>105</v>
      </c>
      <c r="L226" s="68"/>
      <c r="M226" s="69" t="str">
        <f>IFERROR(VLOOKUP($B226,Tipologias!$A$4:$V$8,19,0),"")</f>
        <v/>
      </c>
      <c r="N226" s="69" t="str">
        <f t="shared" si="1"/>
        <v/>
      </c>
      <c r="O226" s="69"/>
      <c r="P226" s="68"/>
      <c r="Q226" s="91" t="s">
        <v>684</v>
      </c>
    </row>
    <row r="227" ht="15.75" customHeight="1">
      <c r="A227" s="90" t="s">
        <v>685</v>
      </c>
      <c r="B227" s="62" t="s">
        <v>184</v>
      </c>
      <c r="C227" s="63" t="s">
        <v>484</v>
      </c>
      <c r="D227" s="63">
        <v>2.0</v>
      </c>
      <c r="E227" s="63" t="s">
        <v>57</v>
      </c>
      <c r="F227" s="66">
        <f>IFERROR(VLOOKUP($B227,Tipologias!$A$4:$V$8,5,0),"")</f>
        <v>3</v>
      </c>
      <c r="G227" s="66">
        <f>IFERROR(VLOOKUP($B227,Tipologias!$A$4:$V$8,6,0),"")</f>
        <v>3</v>
      </c>
      <c r="H227" s="67">
        <f>IFERROR(VLOOKUP($B227,Tipologias!$A$4:$V$8,9,0),"")</f>
        <v>130.044</v>
      </c>
      <c r="I227" s="67">
        <f>IFERROR(VLOOKUP($B227,Tipologias!$A$4:$V$8,10,0),"")</f>
        <v>91.53</v>
      </c>
      <c r="J227" s="67">
        <f>IFERROR(VLOOKUP($B227,Tipologias!$A$4:$V$8,16,0),"")</f>
        <v>238.624</v>
      </c>
      <c r="K227" s="63" t="s">
        <v>105</v>
      </c>
      <c r="L227" s="68"/>
      <c r="M227" s="69" t="str">
        <f>IFERROR(VLOOKUP($B227,Tipologias!$A$4:$V$8,19,0),"")</f>
        <v/>
      </c>
      <c r="N227" s="69" t="str">
        <f t="shared" si="1"/>
        <v/>
      </c>
      <c r="O227" s="69"/>
      <c r="P227" s="68"/>
      <c r="Q227" s="91" t="s">
        <v>686</v>
      </c>
    </row>
    <row r="228" ht="15.75" customHeight="1">
      <c r="A228" s="90" t="s">
        <v>687</v>
      </c>
      <c r="B228" s="62" t="s">
        <v>184</v>
      </c>
      <c r="C228" s="63" t="s">
        <v>484</v>
      </c>
      <c r="D228" s="63">
        <v>2.0</v>
      </c>
      <c r="E228" s="63" t="s">
        <v>57</v>
      </c>
      <c r="F228" s="66">
        <f>IFERROR(VLOOKUP($B228,Tipologias!$A$4:$V$8,5,0),"")</f>
        <v>3</v>
      </c>
      <c r="G228" s="66">
        <f>IFERROR(VLOOKUP($B228,Tipologias!$A$4:$V$8,6,0),"")</f>
        <v>3</v>
      </c>
      <c r="H228" s="67">
        <f>IFERROR(VLOOKUP($B228,Tipologias!$A$4:$V$8,9,0),"")</f>
        <v>130.044</v>
      </c>
      <c r="I228" s="67">
        <f>IFERROR(VLOOKUP($B228,Tipologias!$A$4:$V$8,10,0),"")</f>
        <v>91.53</v>
      </c>
      <c r="J228" s="67">
        <f>IFERROR(VLOOKUP($B228,Tipologias!$A$4:$V$8,16,0),"")</f>
        <v>238.624</v>
      </c>
      <c r="K228" s="63" t="s">
        <v>105</v>
      </c>
      <c r="L228" s="68"/>
      <c r="M228" s="69" t="str">
        <f>IFERROR(VLOOKUP($B228,Tipologias!$A$4:$V$8,19,0),"")</f>
        <v/>
      </c>
      <c r="N228" s="69" t="str">
        <f t="shared" si="1"/>
        <v/>
      </c>
      <c r="O228" s="69"/>
      <c r="P228" s="68"/>
      <c r="Q228" s="91" t="s">
        <v>688</v>
      </c>
    </row>
    <row r="229" ht="15.75" customHeight="1">
      <c r="A229" s="90" t="s">
        <v>689</v>
      </c>
      <c r="B229" s="62" t="s">
        <v>184</v>
      </c>
      <c r="C229" s="63" t="s">
        <v>484</v>
      </c>
      <c r="D229" s="63">
        <v>2.0</v>
      </c>
      <c r="E229" s="63" t="s">
        <v>57</v>
      </c>
      <c r="F229" s="66">
        <f>IFERROR(VLOOKUP($B229,Tipologias!$A$4:$V$8,5,0),"")</f>
        <v>3</v>
      </c>
      <c r="G229" s="66">
        <f>IFERROR(VLOOKUP($B229,Tipologias!$A$4:$V$8,6,0),"")</f>
        <v>3</v>
      </c>
      <c r="H229" s="67">
        <f>IFERROR(VLOOKUP($B229,Tipologias!$A$4:$V$8,9,0),"")</f>
        <v>130.044</v>
      </c>
      <c r="I229" s="67">
        <f>IFERROR(VLOOKUP($B229,Tipologias!$A$4:$V$8,10,0),"")</f>
        <v>91.53</v>
      </c>
      <c r="J229" s="67">
        <f>IFERROR(VLOOKUP($B229,Tipologias!$A$4:$V$8,16,0),"")</f>
        <v>238.624</v>
      </c>
      <c r="K229" s="63" t="s">
        <v>105</v>
      </c>
      <c r="L229" s="68"/>
      <c r="M229" s="69" t="str">
        <f>IFERROR(VLOOKUP($B229,Tipologias!$A$4:$V$8,19,0),"")</f>
        <v/>
      </c>
      <c r="N229" s="69" t="str">
        <f t="shared" si="1"/>
        <v/>
      </c>
      <c r="O229" s="69"/>
      <c r="P229" s="68"/>
      <c r="Q229" s="91" t="s">
        <v>690</v>
      </c>
    </row>
    <row r="230" ht="15.75" customHeight="1">
      <c r="A230" s="90" t="s">
        <v>691</v>
      </c>
      <c r="B230" s="62" t="s">
        <v>184</v>
      </c>
      <c r="C230" s="63" t="s">
        <v>484</v>
      </c>
      <c r="D230" s="63">
        <v>2.0</v>
      </c>
      <c r="E230" s="63" t="s">
        <v>57</v>
      </c>
      <c r="F230" s="66">
        <f>IFERROR(VLOOKUP($B230,Tipologias!$A$4:$V$8,5,0),"")</f>
        <v>3</v>
      </c>
      <c r="G230" s="66">
        <f>IFERROR(VLOOKUP($B230,Tipologias!$A$4:$V$8,6,0),"")</f>
        <v>3</v>
      </c>
      <c r="H230" s="67">
        <f>IFERROR(VLOOKUP($B230,Tipologias!$A$4:$V$8,9,0),"")</f>
        <v>130.044</v>
      </c>
      <c r="I230" s="67">
        <f>IFERROR(VLOOKUP($B230,Tipologias!$A$4:$V$8,10,0),"")</f>
        <v>91.53</v>
      </c>
      <c r="J230" s="67">
        <f>IFERROR(VLOOKUP($B230,Tipologias!$A$4:$V$8,16,0),"")</f>
        <v>238.624</v>
      </c>
      <c r="K230" s="63" t="s">
        <v>105</v>
      </c>
      <c r="L230" s="68"/>
      <c r="M230" s="69" t="str">
        <f>IFERROR(VLOOKUP($B230,Tipologias!$A$4:$V$8,19,0),"")</f>
        <v/>
      </c>
      <c r="N230" s="69" t="str">
        <f t="shared" si="1"/>
        <v/>
      </c>
      <c r="O230" s="69"/>
      <c r="P230" s="68"/>
      <c r="Q230" s="91" t="s">
        <v>692</v>
      </c>
    </row>
    <row r="231" ht="15.75" customHeight="1">
      <c r="A231" s="90" t="s">
        <v>693</v>
      </c>
      <c r="B231" s="62" t="s">
        <v>184</v>
      </c>
      <c r="C231" s="63" t="s">
        <v>484</v>
      </c>
      <c r="D231" s="63">
        <v>2.0</v>
      </c>
      <c r="E231" s="63" t="s">
        <v>57</v>
      </c>
      <c r="F231" s="66">
        <f>IFERROR(VLOOKUP($B231,Tipologias!$A$4:$V$8,5,0),"")</f>
        <v>3</v>
      </c>
      <c r="G231" s="66">
        <f>IFERROR(VLOOKUP($B231,Tipologias!$A$4:$V$8,6,0),"")</f>
        <v>3</v>
      </c>
      <c r="H231" s="67">
        <f>IFERROR(VLOOKUP($B231,Tipologias!$A$4:$V$8,9,0),"")</f>
        <v>130.044</v>
      </c>
      <c r="I231" s="67">
        <f>IFERROR(VLOOKUP($B231,Tipologias!$A$4:$V$8,10,0),"")</f>
        <v>91.53</v>
      </c>
      <c r="J231" s="67">
        <f>IFERROR(VLOOKUP($B231,Tipologias!$A$4:$V$8,16,0),"")</f>
        <v>238.624</v>
      </c>
      <c r="K231" s="63" t="s">
        <v>105</v>
      </c>
      <c r="L231" s="68"/>
      <c r="M231" s="69" t="str">
        <f>IFERROR(VLOOKUP($B231,Tipologias!$A$4:$V$8,19,0),"")</f>
        <v/>
      </c>
      <c r="N231" s="69" t="str">
        <f t="shared" si="1"/>
        <v/>
      </c>
      <c r="O231" s="69"/>
      <c r="P231" s="68"/>
      <c r="Q231" s="91" t="s">
        <v>694</v>
      </c>
    </row>
    <row r="232" ht="15.75" customHeight="1">
      <c r="A232" s="90" t="s">
        <v>695</v>
      </c>
      <c r="B232" s="62" t="s">
        <v>184</v>
      </c>
      <c r="C232" s="63" t="s">
        <v>484</v>
      </c>
      <c r="D232" s="63">
        <v>2.0</v>
      </c>
      <c r="E232" s="63" t="s">
        <v>57</v>
      </c>
      <c r="F232" s="66">
        <f>IFERROR(VLOOKUP($B232,Tipologias!$A$4:$V$8,5,0),"")</f>
        <v>3</v>
      </c>
      <c r="G232" s="66">
        <f>IFERROR(VLOOKUP($B232,Tipologias!$A$4:$V$8,6,0),"")</f>
        <v>3</v>
      </c>
      <c r="H232" s="67">
        <f>IFERROR(VLOOKUP($B232,Tipologias!$A$4:$V$8,9,0),"")</f>
        <v>130.044</v>
      </c>
      <c r="I232" s="67">
        <f>IFERROR(VLOOKUP($B232,Tipologias!$A$4:$V$8,10,0),"")</f>
        <v>91.53</v>
      </c>
      <c r="J232" s="67">
        <f>IFERROR(VLOOKUP($B232,Tipologias!$A$4:$V$8,16,0),"")</f>
        <v>238.624</v>
      </c>
      <c r="K232" s="63" t="s">
        <v>105</v>
      </c>
      <c r="L232" s="68"/>
      <c r="M232" s="69" t="str">
        <f>IFERROR(VLOOKUP($B232,Tipologias!$A$4:$V$8,19,0),"")</f>
        <v/>
      </c>
      <c r="N232" s="69" t="str">
        <f t="shared" si="1"/>
        <v/>
      </c>
      <c r="O232" s="69"/>
      <c r="P232" s="68"/>
      <c r="Q232" s="91" t="s">
        <v>696</v>
      </c>
    </row>
    <row r="233" ht="15.75" customHeight="1">
      <c r="A233" s="90" t="s">
        <v>697</v>
      </c>
      <c r="B233" s="62" t="s">
        <v>184</v>
      </c>
      <c r="C233" s="63" t="s">
        <v>484</v>
      </c>
      <c r="D233" s="63">
        <v>2.0</v>
      </c>
      <c r="E233" s="63" t="s">
        <v>57</v>
      </c>
      <c r="F233" s="66">
        <f>IFERROR(VLOOKUP($B233,Tipologias!$A$4:$V$8,5,0),"")</f>
        <v>3</v>
      </c>
      <c r="G233" s="66">
        <f>IFERROR(VLOOKUP($B233,Tipologias!$A$4:$V$8,6,0),"")</f>
        <v>3</v>
      </c>
      <c r="H233" s="67">
        <f>IFERROR(VLOOKUP($B233,Tipologias!$A$4:$V$8,9,0),"")</f>
        <v>130.044</v>
      </c>
      <c r="I233" s="67">
        <f>IFERROR(VLOOKUP($B233,Tipologias!$A$4:$V$8,10,0),"")</f>
        <v>91.53</v>
      </c>
      <c r="J233" s="67">
        <f>IFERROR(VLOOKUP($B233,Tipologias!$A$4:$V$8,16,0),"")</f>
        <v>238.624</v>
      </c>
      <c r="K233" s="63" t="s">
        <v>105</v>
      </c>
      <c r="L233" s="68"/>
      <c r="M233" s="69" t="str">
        <f>IFERROR(VLOOKUP($B233,Tipologias!$A$4:$V$8,19,0),"")</f>
        <v/>
      </c>
      <c r="N233" s="69" t="str">
        <f t="shared" si="1"/>
        <v/>
      </c>
      <c r="O233" s="69"/>
      <c r="P233" s="68"/>
      <c r="Q233" s="91" t="s">
        <v>698</v>
      </c>
    </row>
    <row r="234" ht="15.75" customHeight="1">
      <c r="A234" s="90" t="s">
        <v>699</v>
      </c>
      <c r="B234" s="62" t="s">
        <v>184</v>
      </c>
      <c r="C234" s="63" t="s">
        <v>484</v>
      </c>
      <c r="D234" s="63">
        <v>2.0</v>
      </c>
      <c r="E234" s="63" t="s">
        <v>57</v>
      </c>
      <c r="F234" s="66">
        <f>IFERROR(VLOOKUP($B234,Tipologias!$A$4:$V$8,5,0),"")</f>
        <v>3</v>
      </c>
      <c r="G234" s="66">
        <f>IFERROR(VLOOKUP($B234,Tipologias!$A$4:$V$8,6,0),"")</f>
        <v>3</v>
      </c>
      <c r="H234" s="67">
        <f>IFERROR(VLOOKUP($B234,Tipologias!$A$4:$V$8,9,0),"")</f>
        <v>130.044</v>
      </c>
      <c r="I234" s="67">
        <f>IFERROR(VLOOKUP($B234,Tipologias!$A$4:$V$8,10,0),"")</f>
        <v>91.53</v>
      </c>
      <c r="J234" s="67">
        <f>IFERROR(VLOOKUP($B234,Tipologias!$A$4:$V$8,16,0),"")</f>
        <v>238.624</v>
      </c>
      <c r="K234" s="63" t="s">
        <v>105</v>
      </c>
      <c r="L234" s="68"/>
      <c r="M234" s="69" t="str">
        <f>IFERROR(VLOOKUP($B234,Tipologias!$A$4:$V$8,19,0),"")</f>
        <v/>
      </c>
      <c r="N234" s="69" t="str">
        <f t="shared" si="1"/>
        <v/>
      </c>
      <c r="O234" s="69"/>
      <c r="P234" s="68"/>
      <c r="Q234" s="91" t="s">
        <v>700</v>
      </c>
    </row>
    <row r="235" ht="15.75" customHeight="1">
      <c r="A235" s="90" t="s">
        <v>701</v>
      </c>
      <c r="B235" s="62" t="s">
        <v>184</v>
      </c>
      <c r="C235" s="63" t="s">
        <v>484</v>
      </c>
      <c r="D235" s="63">
        <v>2.0</v>
      </c>
      <c r="E235" s="63" t="s">
        <v>57</v>
      </c>
      <c r="F235" s="66">
        <f>IFERROR(VLOOKUP($B235,Tipologias!$A$4:$V$8,5,0),"")</f>
        <v>3</v>
      </c>
      <c r="G235" s="66">
        <f>IFERROR(VLOOKUP($B235,Tipologias!$A$4:$V$8,6,0),"")</f>
        <v>3</v>
      </c>
      <c r="H235" s="67">
        <f>IFERROR(VLOOKUP($B235,Tipologias!$A$4:$V$8,9,0),"")</f>
        <v>130.044</v>
      </c>
      <c r="I235" s="67">
        <f>IFERROR(VLOOKUP($B235,Tipologias!$A$4:$V$8,10,0),"")</f>
        <v>91.53</v>
      </c>
      <c r="J235" s="67">
        <f>IFERROR(VLOOKUP($B235,Tipologias!$A$4:$V$8,16,0),"")</f>
        <v>238.624</v>
      </c>
      <c r="K235" s="63" t="s">
        <v>105</v>
      </c>
      <c r="L235" s="68"/>
      <c r="M235" s="69" t="str">
        <f>IFERROR(VLOOKUP($B235,Tipologias!$A$4:$V$8,19,0),"")</f>
        <v/>
      </c>
      <c r="N235" s="69" t="str">
        <f t="shared" si="1"/>
        <v/>
      </c>
      <c r="O235" s="69"/>
      <c r="P235" s="68"/>
      <c r="Q235" s="91" t="s">
        <v>702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</sheetData>
  <mergeCells count="1">
    <mergeCell ref="A1:Q1"/>
  </mergeCells>
  <dataValidations>
    <dataValidation type="list" allowBlank="1" sqref="B3:B235">
      <formula1>Tipologias!$A$4:$A$8</formula1>
    </dataValidation>
    <dataValidation type="list" allowBlank="1" sqref="L3:L235">
      <formula1>"Lista 0,Lista 1,Lista 2"</formula1>
    </dataValidation>
    <dataValidation type="list" allowBlank="1" sqref="K3:K235">
      <formula1>"Disponible,Reservado,Vendido,No disponible"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1A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4.0"/>
    <col customWidth="1" min="2" max="2" width="18.0"/>
    <col customWidth="1" min="3" max="3" width="14.0"/>
    <col customWidth="1" min="4" max="4" width="20.0"/>
    <col customWidth="1" min="5" max="5" width="34.0"/>
    <col customWidth="1" min="6" max="26" width="8.71"/>
  </cols>
  <sheetData>
    <row r="1">
      <c r="A1" s="1" t="s">
        <v>3</v>
      </c>
      <c r="B1" s="3"/>
      <c r="C1" s="3"/>
      <c r="D1" s="3"/>
      <c r="E1" s="6"/>
    </row>
    <row r="2">
      <c r="A2" s="8" t="s">
        <v>4</v>
      </c>
      <c r="B2" s="8" t="s">
        <v>6</v>
      </c>
      <c r="C2" s="8" t="s">
        <v>7</v>
      </c>
      <c r="D2" s="8" t="s">
        <v>8</v>
      </c>
      <c r="E2" s="8" t="s">
        <v>10</v>
      </c>
    </row>
    <row r="3">
      <c r="A3" s="13" t="s">
        <v>12</v>
      </c>
      <c r="B3" s="15"/>
      <c r="C3" s="15"/>
      <c r="D3" s="15"/>
      <c r="E3" s="16"/>
    </row>
    <row r="4" ht="24.0" customHeight="1">
      <c r="A4" s="19" t="s">
        <v>20</v>
      </c>
      <c r="B4" s="20" t="s">
        <v>24</v>
      </c>
      <c r="C4" s="22"/>
      <c r="D4" s="24" t="s">
        <v>31</v>
      </c>
      <c r="E4" s="25" t="s">
        <v>35</v>
      </c>
    </row>
    <row r="5" ht="24.0" customHeight="1">
      <c r="A5" s="19" t="s">
        <v>41</v>
      </c>
      <c r="B5" s="20"/>
      <c r="C5" s="22" t="s">
        <v>44</v>
      </c>
      <c r="D5" s="24" t="s">
        <v>31</v>
      </c>
      <c r="E5" s="25" t="s">
        <v>48</v>
      </c>
    </row>
    <row r="6" ht="24.0" customHeight="1">
      <c r="A6" s="19" t="s">
        <v>49</v>
      </c>
      <c r="B6" s="20"/>
      <c r="C6" s="22" t="s">
        <v>24</v>
      </c>
      <c r="D6" s="24" t="s">
        <v>31</v>
      </c>
      <c r="E6" s="25" t="s">
        <v>54</v>
      </c>
    </row>
    <row r="7" ht="24.0" customHeight="1">
      <c r="A7" s="19" t="s">
        <v>55</v>
      </c>
      <c r="B7" s="20"/>
      <c r="C7" s="22" t="s">
        <v>63</v>
      </c>
      <c r="D7" s="24" t="s">
        <v>31</v>
      </c>
      <c r="E7" s="25"/>
    </row>
    <row r="8" ht="24.0" customHeight="1">
      <c r="A8" s="19" t="s">
        <v>64</v>
      </c>
      <c r="B8" s="34"/>
      <c r="C8" s="22" t="s">
        <v>68</v>
      </c>
      <c r="D8" s="24" t="s">
        <v>31</v>
      </c>
      <c r="E8" s="25"/>
    </row>
    <row r="9" ht="24.0" customHeight="1">
      <c r="A9" s="19" t="s">
        <v>73</v>
      </c>
      <c r="B9" s="34"/>
      <c r="C9" s="22" t="s">
        <v>68</v>
      </c>
      <c r="D9" s="24" t="s">
        <v>31</v>
      </c>
      <c r="E9" s="25" t="s">
        <v>77</v>
      </c>
    </row>
    <row r="10" ht="24.0" customHeight="1">
      <c r="A10" s="19" t="s">
        <v>81</v>
      </c>
      <c r="B10" s="34"/>
      <c r="C10" s="22" t="s">
        <v>68</v>
      </c>
      <c r="D10" s="24" t="s">
        <v>31</v>
      </c>
      <c r="E10" s="25"/>
    </row>
    <row r="11" ht="24.0" customHeight="1">
      <c r="A11" s="19" t="s">
        <v>89</v>
      </c>
      <c r="B11" s="34"/>
      <c r="C11" s="22" t="s">
        <v>68</v>
      </c>
      <c r="D11" s="24" t="s">
        <v>31</v>
      </c>
      <c r="E11" s="25" t="s">
        <v>93</v>
      </c>
    </row>
    <row r="12" ht="24.0" customHeight="1">
      <c r="A12" s="19" t="s">
        <v>96</v>
      </c>
      <c r="B12" s="20"/>
      <c r="C12" s="22" t="s">
        <v>99</v>
      </c>
      <c r="D12" s="24" t="s">
        <v>31</v>
      </c>
      <c r="E12" s="25" t="s">
        <v>102</v>
      </c>
    </row>
    <row r="13" ht="24.0" customHeight="1">
      <c r="A13" s="19" t="s">
        <v>103</v>
      </c>
      <c r="B13" s="34"/>
      <c r="C13" s="22" t="s">
        <v>68</v>
      </c>
      <c r="D13" s="24" t="s">
        <v>31</v>
      </c>
      <c r="E13" s="25"/>
    </row>
    <row r="14" ht="24.0" customHeight="1">
      <c r="A14" s="19" t="s">
        <v>106</v>
      </c>
      <c r="B14" s="20"/>
      <c r="C14" s="22" t="s">
        <v>99</v>
      </c>
      <c r="D14" s="24" t="s">
        <v>31</v>
      </c>
      <c r="E14" s="25" t="s">
        <v>108</v>
      </c>
    </row>
    <row r="15" ht="24.0" customHeight="1">
      <c r="A15" s="19" t="s">
        <v>109</v>
      </c>
      <c r="B15" s="20"/>
      <c r="C15" s="22" t="s">
        <v>111</v>
      </c>
      <c r="D15" s="24" t="s">
        <v>31</v>
      </c>
      <c r="E15" s="25" t="s">
        <v>112</v>
      </c>
    </row>
    <row r="16">
      <c r="A16" s="13" t="s">
        <v>113</v>
      </c>
      <c r="B16" s="15"/>
      <c r="C16" s="15"/>
      <c r="D16" s="15"/>
      <c r="E16" s="16"/>
    </row>
    <row r="17" ht="24.0" customHeight="1">
      <c r="A17" s="19" t="s">
        <v>115</v>
      </c>
      <c r="B17" s="20"/>
      <c r="C17" s="22" t="s">
        <v>117</v>
      </c>
      <c r="D17" s="24" t="s">
        <v>31</v>
      </c>
      <c r="E17" s="25"/>
    </row>
    <row r="18" ht="24.0" customHeight="1">
      <c r="A18" s="19" t="s">
        <v>119</v>
      </c>
      <c r="B18" s="55"/>
      <c r="C18" s="22" t="s">
        <v>24</v>
      </c>
      <c r="D18" s="24" t="s">
        <v>31</v>
      </c>
      <c r="E18" s="25"/>
    </row>
    <row r="19" ht="24.0" customHeight="1">
      <c r="A19" s="19" t="s">
        <v>123</v>
      </c>
      <c r="B19" s="34">
        <v>0.3</v>
      </c>
      <c r="C19" s="22" t="s">
        <v>68</v>
      </c>
      <c r="D19" s="24" t="s">
        <v>31</v>
      </c>
      <c r="E19" s="25" t="s">
        <v>127</v>
      </c>
    </row>
    <row r="20" ht="24.0" customHeight="1">
      <c r="A20" s="19" t="s">
        <v>129</v>
      </c>
      <c r="B20" s="34"/>
      <c r="C20" s="22" t="s">
        <v>68</v>
      </c>
      <c r="D20" s="24" t="s">
        <v>31</v>
      </c>
      <c r="E20" s="25" t="s">
        <v>130</v>
      </c>
    </row>
    <row r="21" ht="24.0" customHeight="1">
      <c r="A21" s="19" t="s">
        <v>132</v>
      </c>
      <c r="B21" s="55"/>
      <c r="C21" s="22" t="s">
        <v>24</v>
      </c>
      <c r="D21" s="24" t="s">
        <v>31</v>
      </c>
      <c r="E21" s="25" t="s">
        <v>133</v>
      </c>
    </row>
    <row r="22" ht="15.75" customHeight="1">
      <c r="A22" s="13" t="s">
        <v>134</v>
      </c>
      <c r="B22" s="15"/>
      <c r="C22" s="15"/>
      <c r="D22" s="15"/>
      <c r="E22" s="16"/>
    </row>
    <row r="23" ht="24.0" customHeight="1">
      <c r="A23" s="19" t="s">
        <v>136</v>
      </c>
      <c r="B23" s="20"/>
      <c r="C23" s="22" t="s">
        <v>138</v>
      </c>
      <c r="D23" s="24" t="s">
        <v>141</v>
      </c>
      <c r="E23" s="25" t="s">
        <v>143</v>
      </c>
    </row>
    <row r="24" ht="24.0" customHeight="1">
      <c r="A24" s="19" t="s">
        <v>144</v>
      </c>
      <c r="B24" s="34"/>
      <c r="C24" s="22" t="s">
        <v>68</v>
      </c>
      <c r="D24" s="24" t="s">
        <v>145</v>
      </c>
      <c r="E24" s="25"/>
    </row>
    <row r="25" ht="24.0" customHeight="1">
      <c r="A25" s="19" t="s">
        <v>146</v>
      </c>
      <c r="B25" s="34"/>
      <c r="C25" s="22" t="s">
        <v>68</v>
      </c>
      <c r="D25" s="24" t="s">
        <v>145</v>
      </c>
      <c r="E25" s="25" t="s">
        <v>147</v>
      </c>
    </row>
    <row r="26" ht="24.0" customHeight="1">
      <c r="A26" s="19" t="s">
        <v>148</v>
      </c>
      <c r="B26" s="34"/>
      <c r="C26" s="22" t="s">
        <v>68</v>
      </c>
      <c r="D26" s="24" t="s">
        <v>149</v>
      </c>
      <c r="E26" s="25" t="s">
        <v>150</v>
      </c>
    </row>
    <row r="27" ht="24.0" customHeight="1">
      <c r="A27" s="19" t="s">
        <v>151</v>
      </c>
      <c r="B27" s="20"/>
      <c r="C27" s="22" t="s">
        <v>152</v>
      </c>
      <c r="D27" s="24" t="s">
        <v>145</v>
      </c>
      <c r="E27" s="25"/>
    </row>
    <row r="28" ht="24.0" customHeight="1">
      <c r="A28" s="19" t="s">
        <v>153</v>
      </c>
      <c r="B28" s="20"/>
      <c r="C28" s="22" t="s">
        <v>155</v>
      </c>
      <c r="D28" s="24" t="s">
        <v>31</v>
      </c>
      <c r="E28" s="25"/>
    </row>
    <row r="29" ht="15.75" customHeight="1">
      <c r="A29" s="13" t="s">
        <v>157</v>
      </c>
      <c r="B29" s="15"/>
      <c r="C29" s="15"/>
      <c r="D29" s="15"/>
      <c r="E29" s="16"/>
    </row>
    <row r="30" ht="24.0" customHeight="1">
      <c r="A30" s="19" t="s">
        <v>160</v>
      </c>
      <c r="B30" s="20"/>
      <c r="C30" s="22" t="s">
        <v>63</v>
      </c>
      <c r="D30" s="24" t="s">
        <v>31</v>
      </c>
      <c r="E30" s="25"/>
    </row>
    <row r="31" ht="24.0" customHeight="1">
      <c r="A31" s="19" t="s">
        <v>161</v>
      </c>
      <c r="B31" s="55"/>
      <c r="C31" s="22" t="s">
        <v>24</v>
      </c>
      <c r="D31" s="24" t="s">
        <v>31</v>
      </c>
      <c r="E31" s="25"/>
    </row>
    <row r="32" ht="24.0" customHeight="1">
      <c r="A32" s="19" t="s">
        <v>162</v>
      </c>
      <c r="B32" s="34"/>
      <c r="C32" s="22" t="s">
        <v>68</v>
      </c>
      <c r="D32" s="24" t="s">
        <v>164</v>
      </c>
      <c r="E32" s="25" t="s">
        <v>165</v>
      </c>
    </row>
    <row r="33" ht="24.0" customHeight="1">
      <c r="A33" s="19" t="s">
        <v>166</v>
      </c>
      <c r="B33" s="20"/>
      <c r="C33" s="22" t="s">
        <v>152</v>
      </c>
      <c r="D33" s="24" t="s">
        <v>164</v>
      </c>
      <c r="E33" s="25"/>
    </row>
    <row r="34" ht="15.75" customHeight="1">
      <c r="A34" s="13" t="s">
        <v>169</v>
      </c>
      <c r="B34" s="15"/>
      <c r="C34" s="15"/>
      <c r="D34" s="15"/>
      <c r="E34" s="16"/>
    </row>
    <row r="35" ht="24.0" customHeight="1">
      <c r="A35" s="19" t="s">
        <v>172</v>
      </c>
      <c r="B35" s="34"/>
      <c r="C35" s="22" t="s">
        <v>68</v>
      </c>
      <c r="D35" s="24" t="s">
        <v>31</v>
      </c>
      <c r="E35" s="25" t="s">
        <v>174</v>
      </c>
    </row>
    <row r="36" ht="24.0" customHeight="1">
      <c r="A36" s="19" t="s">
        <v>175</v>
      </c>
      <c r="B36" s="55"/>
      <c r="C36" s="22" t="s">
        <v>24</v>
      </c>
      <c r="D36" s="24" t="s">
        <v>31</v>
      </c>
      <c r="E36" s="25"/>
    </row>
    <row r="37" ht="24.0" customHeight="1">
      <c r="A37" s="19" t="s">
        <v>176</v>
      </c>
      <c r="B37" s="34"/>
      <c r="C37" s="22" t="s">
        <v>68</v>
      </c>
      <c r="D37" s="24" t="s">
        <v>31</v>
      </c>
      <c r="E37" s="25" t="s">
        <v>177</v>
      </c>
    </row>
    <row r="38" ht="15.75" customHeight="1">
      <c r="A38" s="13" t="s">
        <v>178</v>
      </c>
      <c r="B38" s="15"/>
      <c r="C38" s="15"/>
      <c r="D38" s="15"/>
      <c r="E38" s="16"/>
    </row>
    <row r="39" ht="24.0" customHeight="1">
      <c r="A39" s="19" t="s">
        <v>179</v>
      </c>
      <c r="B39" s="20"/>
      <c r="C39" s="22" t="s">
        <v>63</v>
      </c>
      <c r="D39" s="24" t="s">
        <v>31</v>
      </c>
      <c r="E39" s="25" t="s">
        <v>182</v>
      </c>
    </row>
    <row r="40" ht="24.0" customHeight="1">
      <c r="A40" s="19" t="s">
        <v>183</v>
      </c>
      <c r="B40" s="34"/>
      <c r="C40" s="22" t="s">
        <v>68</v>
      </c>
      <c r="D40" s="24" t="s">
        <v>31</v>
      </c>
      <c r="E40" s="25"/>
    </row>
    <row r="41" ht="24.0" customHeight="1">
      <c r="A41" s="19" t="s">
        <v>187</v>
      </c>
      <c r="B41" s="34"/>
      <c r="C41" s="22" t="s">
        <v>68</v>
      </c>
      <c r="D41" s="24" t="s">
        <v>31</v>
      </c>
      <c r="E41" s="25"/>
    </row>
    <row r="42" ht="24.0" customHeight="1">
      <c r="A42" s="19" t="s">
        <v>189</v>
      </c>
      <c r="B42" s="20"/>
      <c r="C42" s="22" t="s">
        <v>190</v>
      </c>
      <c r="D42" s="24" t="s">
        <v>31</v>
      </c>
      <c r="E42" s="25"/>
    </row>
    <row r="43" ht="24.0" customHeight="1">
      <c r="A43" s="19" t="s">
        <v>192</v>
      </c>
      <c r="B43" s="34"/>
      <c r="C43" s="22" t="s">
        <v>68</v>
      </c>
      <c r="D43" s="24" t="s">
        <v>149</v>
      </c>
      <c r="E43" s="25" t="s">
        <v>193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16:E16"/>
    <mergeCell ref="A22:E22"/>
    <mergeCell ref="A29:E29"/>
    <mergeCell ref="A34:E34"/>
    <mergeCell ref="A38:E38"/>
  </mergeCells>
  <dataValidations>
    <dataValidation type="list" allowBlank="1" sqref="B7 B30 B39">
      <formula1>"Sí,No"</formula1>
    </dataValidation>
    <dataValidation type="list" allowBlank="1" sqref="B17">
      <formula1>"Compra directa,Ruta B (aporte),Mixto"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182C"/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3" width="16.0"/>
    <col customWidth="1" min="4" max="4" width="52.0"/>
    <col customWidth="1" min="5" max="26" width="8.71"/>
  </cols>
  <sheetData>
    <row r="1">
      <c r="A1" s="1" t="s">
        <v>198</v>
      </c>
      <c r="B1" s="3"/>
      <c r="C1" s="3"/>
      <c r="D1" s="6"/>
    </row>
    <row r="2">
      <c r="A2" s="12" t="s">
        <v>199</v>
      </c>
      <c r="B2" s="3"/>
      <c r="C2" s="3"/>
      <c r="D2" s="6"/>
    </row>
    <row r="3">
      <c r="A3" s="80" t="s">
        <v>200</v>
      </c>
      <c r="B3" s="82" t="s">
        <v>201</v>
      </c>
      <c r="C3" s="22" t="s">
        <v>203</v>
      </c>
      <c r="D3" s="25" t="s">
        <v>204</v>
      </c>
    </row>
    <row r="4">
      <c r="A4" s="80" t="s">
        <v>205</v>
      </c>
      <c r="B4" s="82" t="s">
        <v>207</v>
      </c>
      <c r="C4" s="22" t="s">
        <v>203</v>
      </c>
      <c r="D4" s="25" t="s">
        <v>204</v>
      </c>
    </row>
    <row r="5">
      <c r="A5" s="80" t="s">
        <v>209</v>
      </c>
      <c r="B5" s="82" t="s">
        <v>210</v>
      </c>
      <c r="C5" s="22"/>
      <c r="D5" s="25" t="s">
        <v>211</v>
      </c>
    </row>
    <row r="6">
      <c r="A6" s="80" t="s">
        <v>212</v>
      </c>
      <c r="B6" s="82" t="s">
        <v>213</v>
      </c>
      <c r="C6" s="22"/>
      <c r="D6" s="25" t="s">
        <v>214</v>
      </c>
    </row>
    <row r="8">
      <c r="A8" s="12" t="s">
        <v>215</v>
      </c>
      <c r="B8" s="3"/>
      <c r="C8" s="3"/>
      <c r="D8" s="6"/>
    </row>
    <row r="9" ht="15.0" customHeight="1">
      <c r="A9" s="80" t="s">
        <v>216</v>
      </c>
      <c r="B9" s="20" t="s">
        <v>218</v>
      </c>
      <c r="C9" s="86" t="s">
        <v>219</v>
      </c>
      <c r="D9" s="15"/>
    </row>
    <row r="10" ht="15.0" customHeight="1">
      <c r="A10" s="80" t="s">
        <v>148</v>
      </c>
      <c r="B10" s="20" t="s">
        <v>221</v>
      </c>
      <c r="C10" s="86" t="s">
        <v>222</v>
      </c>
      <c r="D10" s="15"/>
    </row>
    <row r="11" ht="15.0" customHeight="1">
      <c r="A11" s="80" t="s">
        <v>223</v>
      </c>
      <c r="B11" s="20" t="s">
        <v>224</v>
      </c>
      <c r="C11" s="86" t="s">
        <v>225</v>
      </c>
      <c r="D11" s="15"/>
    </row>
    <row r="12" ht="15.0" customHeight="1">
      <c r="A12" s="80" t="s">
        <v>192</v>
      </c>
      <c r="B12" s="20" t="s">
        <v>226</v>
      </c>
      <c r="C12" s="86" t="s">
        <v>227</v>
      </c>
      <c r="D12" s="15"/>
    </row>
    <row r="13" ht="15.0" customHeight="1">
      <c r="A13" s="80" t="s">
        <v>228</v>
      </c>
      <c r="B13" s="20" t="s">
        <v>229</v>
      </c>
      <c r="C13" s="86" t="s">
        <v>230</v>
      </c>
      <c r="D13" s="15"/>
    </row>
    <row r="14" ht="15.0" customHeight="1">
      <c r="A14" s="80" t="s">
        <v>231</v>
      </c>
      <c r="B14" s="20" t="s">
        <v>232</v>
      </c>
      <c r="C14" s="86" t="s">
        <v>233</v>
      </c>
      <c r="D14" s="15"/>
    </row>
    <row r="16">
      <c r="A16" s="12" t="s">
        <v>234</v>
      </c>
      <c r="B16" s="3"/>
      <c r="C16" s="3"/>
      <c r="D16" s="6"/>
    </row>
    <row r="17" ht="33.75" customHeight="1">
      <c r="A17" s="87" t="s">
        <v>235</v>
      </c>
      <c r="B17" s="88" t="s">
        <v>236</v>
      </c>
      <c r="C17" s="15"/>
      <c r="D17" s="15"/>
    </row>
    <row r="18" ht="33.75" customHeight="1">
      <c r="A18" s="87" t="s">
        <v>237</v>
      </c>
      <c r="B18" s="88" t="s">
        <v>238</v>
      </c>
      <c r="C18" s="15"/>
      <c r="D18" s="15"/>
    </row>
    <row r="19" ht="33.75" customHeight="1">
      <c r="A19" s="87" t="s">
        <v>239</v>
      </c>
      <c r="B19" s="88" t="s">
        <v>240</v>
      </c>
      <c r="C19" s="15"/>
      <c r="D19" s="15"/>
    </row>
    <row r="20" ht="33.75" customHeight="1">
      <c r="A20" s="87" t="s">
        <v>241</v>
      </c>
      <c r="B20" s="88" t="s">
        <v>242</v>
      </c>
      <c r="C20" s="15"/>
      <c r="D20" s="15"/>
    </row>
    <row r="21" ht="33.75" customHeight="1">
      <c r="A21" s="87" t="s">
        <v>243</v>
      </c>
      <c r="B21" s="88" t="s">
        <v>244</v>
      </c>
      <c r="C21" s="15"/>
      <c r="D21" s="15"/>
    </row>
    <row r="22" ht="33.75" customHeight="1">
      <c r="A22" s="87" t="s">
        <v>246</v>
      </c>
      <c r="B22" s="88" t="s">
        <v>247</v>
      </c>
      <c r="C22" s="15"/>
      <c r="D22" s="15"/>
    </row>
    <row r="23" ht="15.75" customHeight="1"/>
    <row r="24" ht="27.75" customHeight="1">
      <c r="A24" s="89" t="s">
        <v>249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D1"/>
    <mergeCell ref="A2:D2"/>
    <mergeCell ref="A8:D8"/>
    <mergeCell ref="C9:D9"/>
    <mergeCell ref="C10:D10"/>
    <mergeCell ref="C11:D11"/>
    <mergeCell ref="C12:D12"/>
    <mergeCell ref="B21:D21"/>
    <mergeCell ref="B22:D22"/>
    <mergeCell ref="A24:D24"/>
    <mergeCell ref="C13:D13"/>
    <mergeCell ref="C14:D14"/>
    <mergeCell ref="A16:D16"/>
    <mergeCell ref="B17:D17"/>
    <mergeCell ref="B18:D18"/>
    <mergeCell ref="B19:D19"/>
    <mergeCell ref="B20:D2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2026-06-13T20:04:15Z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