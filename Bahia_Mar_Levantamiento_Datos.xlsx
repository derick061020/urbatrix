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USERXXX\Downloads\"/>
    </mc:Choice>
  </mc:AlternateContent>
  <xr:revisionPtr revIDLastSave="0" documentId="13_ncr:1_{E3E42809-04E1-433B-94CE-5271D7F24A6E}" xr6:coauthVersionLast="47" xr6:coauthVersionMax="47" xr10:uidLastSave="{00000000-0000-0000-0000-000000000000}"/>
  <bookViews>
    <workbookView xWindow="-28920" yWindow="195" windowWidth="29040" windowHeight="15720" tabRatio="596" xr2:uid="{00000000-000D-0000-FFFF-FFFF00000000}"/>
  </bookViews>
  <sheets>
    <sheet name="Precios" sheetId="4" r:id="rId1"/>
    <sheet name="Instrucciones" sheetId="1" r:id="rId2"/>
    <sheet name="Tipologias" sheetId="2" r:id="rId3"/>
    <sheet name="Unidades" sheetId="3" r:id="rId4"/>
    <sheet name="Lotes" sheetId="5" r:id="rId5"/>
    <sheet name="Precios_v2" sheetId="6" r:id="rId6"/>
    <sheet name="Datos_Landmass" sheetId="7" r:id="rId7"/>
    <sheet name="Supuesto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67" i="6" l="1"/>
  <c r="A167" i="6"/>
  <c r="B47" i="6"/>
  <c r="A47" i="6"/>
  <c r="D10" i="6"/>
  <c r="E10" i="6" s="1"/>
  <c r="B10" i="6"/>
  <c r="D9" i="6"/>
  <c r="E9" i="6" s="1"/>
  <c r="B9" i="6"/>
  <c r="D8" i="6"/>
  <c r="E8" i="6" s="1"/>
  <c r="B8" i="6"/>
  <c r="D7" i="6"/>
  <c r="E7" i="6" s="1"/>
  <c r="B7" i="6"/>
  <c r="D6" i="6"/>
  <c r="E6" i="6" s="1"/>
  <c r="B6" i="6"/>
  <c r="J243" i="5"/>
  <c r="I246" i="6" s="1"/>
  <c r="D243" i="5"/>
  <c r="D246" i="6" s="1"/>
  <c r="C243" i="5"/>
  <c r="C246" i="6" s="1"/>
  <c r="B243" i="5"/>
  <c r="B246" i="6" s="1"/>
  <c r="A243" i="5"/>
  <c r="A246" i="6" s="1"/>
  <c r="J242" i="5"/>
  <c r="I245" i="6" s="1"/>
  <c r="D242" i="5"/>
  <c r="D245" i="6" s="1"/>
  <c r="C242" i="5"/>
  <c r="C245" i="6" s="1"/>
  <c r="B242" i="5"/>
  <c r="B245" i="6" s="1"/>
  <c r="A242" i="5"/>
  <c r="A245" i="6" s="1"/>
  <c r="J241" i="5"/>
  <c r="I244" i="6" s="1"/>
  <c r="D241" i="5"/>
  <c r="D244" i="6" s="1"/>
  <c r="C241" i="5"/>
  <c r="C244" i="6" s="1"/>
  <c r="B241" i="5"/>
  <c r="B244" i="6" s="1"/>
  <c r="A241" i="5"/>
  <c r="A244" i="6" s="1"/>
  <c r="J240" i="5"/>
  <c r="I243" i="6" s="1"/>
  <c r="D240" i="5"/>
  <c r="D243" i="6" s="1"/>
  <c r="C240" i="5"/>
  <c r="C243" i="6" s="1"/>
  <c r="B240" i="5"/>
  <c r="B243" i="6" s="1"/>
  <c r="A240" i="5"/>
  <c r="A243" i="6" s="1"/>
  <c r="J239" i="5"/>
  <c r="I242" i="6" s="1"/>
  <c r="D239" i="5"/>
  <c r="D242" i="6" s="1"/>
  <c r="C239" i="5"/>
  <c r="C242" i="6" s="1"/>
  <c r="B239" i="5"/>
  <c r="B242" i="6" s="1"/>
  <c r="A239" i="5"/>
  <c r="A242" i="6" s="1"/>
  <c r="J238" i="5"/>
  <c r="I241" i="6" s="1"/>
  <c r="D238" i="5"/>
  <c r="D241" i="6" s="1"/>
  <c r="C238" i="5"/>
  <c r="C241" i="6" s="1"/>
  <c r="B238" i="5"/>
  <c r="B241" i="6" s="1"/>
  <c r="A238" i="5"/>
  <c r="A241" i="6" s="1"/>
  <c r="J237" i="5"/>
  <c r="I240" i="6" s="1"/>
  <c r="D237" i="5"/>
  <c r="D240" i="6" s="1"/>
  <c r="C237" i="5"/>
  <c r="C240" i="6" s="1"/>
  <c r="B237" i="5"/>
  <c r="B240" i="6" s="1"/>
  <c r="A237" i="5"/>
  <c r="A240" i="6" s="1"/>
  <c r="J236" i="5"/>
  <c r="I239" i="6" s="1"/>
  <c r="D236" i="5"/>
  <c r="D239" i="6" s="1"/>
  <c r="C236" i="5"/>
  <c r="C239" i="6" s="1"/>
  <c r="B236" i="5"/>
  <c r="B239" i="6" s="1"/>
  <c r="A236" i="5"/>
  <c r="A239" i="6" s="1"/>
  <c r="J235" i="5"/>
  <c r="I238" i="6" s="1"/>
  <c r="D235" i="5"/>
  <c r="D238" i="6" s="1"/>
  <c r="C235" i="5"/>
  <c r="C238" i="6" s="1"/>
  <c r="B235" i="5"/>
  <c r="B238" i="6" s="1"/>
  <c r="A235" i="5"/>
  <c r="A238" i="6" s="1"/>
  <c r="J234" i="5"/>
  <c r="I237" i="6" s="1"/>
  <c r="D234" i="5"/>
  <c r="D237" i="6" s="1"/>
  <c r="C234" i="5"/>
  <c r="C237" i="6" s="1"/>
  <c r="B234" i="5"/>
  <c r="B237" i="6" s="1"/>
  <c r="A234" i="5"/>
  <c r="A237" i="6" s="1"/>
  <c r="J233" i="5"/>
  <c r="I236" i="6" s="1"/>
  <c r="D233" i="5"/>
  <c r="D236" i="6" s="1"/>
  <c r="C233" i="5"/>
  <c r="C236" i="6" s="1"/>
  <c r="B233" i="5"/>
  <c r="B236" i="6" s="1"/>
  <c r="A233" i="5"/>
  <c r="A236" i="6" s="1"/>
  <c r="J232" i="5"/>
  <c r="I235" i="6" s="1"/>
  <c r="D232" i="5"/>
  <c r="D235" i="6" s="1"/>
  <c r="C232" i="5"/>
  <c r="C235" i="6" s="1"/>
  <c r="B232" i="5"/>
  <c r="B235" i="6" s="1"/>
  <c r="A232" i="5"/>
  <c r="A235" i="6" s="1"/>
  <c r="J231" i="5"/>
  <c r="I234" i="6" s="1"/>
  <c r="D231" i="5"/>
  <c r="D234" i="6" s="1"/>
  <c r="C231" i="5"/>
  <c r="C234" i="6" s="1"/>
  <c r="B231" i="5"/>
  <c r="B234" i="6" s="1"/>
  <c r="A231" i="5"/>
  <c r="A234" i="6" s="1"/>
  <c r="J230" i="5"/>
  <c r="I233" i="6" s="1"/>
  <c r="D230" i="5"/>
  <c r="D233" i="6" s="1"/>
  <c r="C230" i="5"/>
  <c r="C233" i="6" s="1"/>
  <c r="B230" i="5"/>
  <c r="B233" i="6" s="1"/>
  <c r="A230" i="5"/>
  <c r="A233" i="6" s="1"/>
  <c r="J229" i="5"/>
  <c r="I232" i="6" s="1"/>
  <c r="D229" i="5"/>
  <c r="D232" i="6" s="1"/>
  <c r="C229" i="5"/>
  <c r="C232" i="6" s="1"/>
  <c r="B229" i="5"/>
  <c r="B232" i="6" s="1"/>
  <c r="A229" i="5"/>
  <c r="A232" i="6" s="1"/>
  <c r="J228" i="5"/>
  <c r="I231" i="6" s="1"/>
  <c r="D228" i="5"/>
  <c r="D231" i="6" s="1"/>
  <c r="C228" i="5"/>
  <c r="C231" i="6" s="1"/>
  <c r="B228" i="5"/>
  <c r="B231" i="6" s="1"/>
  <c r="A228" i="5"/>
  <c r="A231" i="6" s="1"/>
  <c r="J227" i="5"/>
  <c r="I230" i="6" s="1"/>
  <c r="D227" i="5"/>
  <c r="D230" i="6" s="1"/>
  <c r="C227" i="5"/>
  <c r="C230" i="6" s="1"/>
  <c r="B227" i="5"/>
  <c r="B230" i="6" s="1"/>
  <c r="A227" i="5"/>
  <c r="A230" i="6" s="1"/>
  <c r="J226" i="5"/>
  <c r="I229" i="6" s="1"/>
  <c r="D226" i="5"/>
  <c r="D229" i="6" s="1"/>
  <c r="C226" i="5"/>
  <c r="C229" i="6" s="1"/>
  <c r="B226" i="5"/>
  <c r="B229" i="6" s="1"/>
  <c r="A226" i="5"/>
  <c r="A229" i="6" s="1"/>
  <c r="J225" i="5"/>
  <c r="I228" i="6" s="1"/>
  <c r="D225" i="5"/>
  <c r="D228" i="6" s="1"/>
  <c r="C225" i="5"/>
  <c r="C228" i="6" s="1"/>
  <c r="B225" i="5"/>
  <c r="B228" i="6" s="1"/>
  <c r="A225" i="5"/>
  <c r="A228" i="6" s="1"/>
  <c r="J224" i="5"/>
  <c r="I227" i="6" s="1"/>
  <c r="D224" i="5"/>
  <c r="D227" i="6" s="1"/>
  <c r="C224" i="5"/>
  <c r="C227" i="6" s="1"/>
  <c r="B224" i="5"/>
  <c r="B227" i="6" s="1"/>
  <c r="A224" i="5"/>
  <c r="A227" i="6" s="1"/>
  <c r="J223" i="5"/>
  <c r="I226" i="6" s="1"/>
  <c r="D223" i="5"/>
  <c r="D226" i="6" s="1"/>
  <c r="C223" i="5"/>
  <c r="C226" i="6" s="1"/>
  <c r="B223" i="5"/>
  <c r="B226" i="6" s="1"/>
  <c r="A223" i="5"/>
  <c r="A226" i="6" s="1"/>
  <c r="J222" i="5"/>
  <c r="I225" i="6" s="1"/>
  <c r="D222" i="5"/>
  <c r="D225" i="6" s="1"/>
  <c r="C222" i="5"/>
  <c r="C225" i="6" s="1"/>
  <c r="B222" i="5"/>
  <c r="B225" i="6" s="1"/>
  <c r="A222" i="5"/>
  <c r="A225" i="6" s="1"/>
  <c r="J221" i="5"/>
  <c r="I224" i="6" s="1"/>
  <c r="D221" i="5"/>
  <c r="D224" i="6" s="1"/>
  <c r="C221" i="5"/>
  <c r="C224" i="6" s="1"/>
  <c r="B221" i="5"/>
  <c r="B224" i="6" s="1"/>
  <c r="A221" i="5"/>
  <c r="A224" i="6" s="1"/>
  <c r="J220" i="5"/>
  <c r="I223" i="6" s="1"/>
  <c r="D220" i="5"/>
  <c r="D223" i="6" s="1"/>
  <c r="C220" i="5"/>
  <c r="C223" i="6" s="1"/>
  <c r="B220" i="5"/>
  <c r="B223" i="6" s="1"/>
  <c r="A220" i="5"/>
  <c r="A223" i="6" s="1"/>
  <c r="J219" i="5"/>
  <c r="I222" i="6" s="1"/>
  <c r="D219" i="5"/>
  <c r="D222" i="6" s="1"/>
  <c r="C219" i="5"/>
  <c r="C222" i="6" s="1"/>
  <c r="B219" i="5"/>
  <c r="B222" i="6" s="1"/>
  <c r="A219" i="5"/>
  <c r="A222" i="6" s="1"/>
  <c r="J218" i="5"/>
  <c r="I221" i="6" s="1"/>
  <c r="D218" i="5"/>
  <c r="D221" i="6" s="1"/>
  <c r="C218" i="5"/>
  <c r="C221" i="6" s="1"/>
  <c r="B218" i="5"/>
  <c r="B221" i="6" s="1"/>
  <c r="A218" i="5"/>
  <c r="A221" i="6" s="1"/>
  <c r="J217" i="5"/>
  <c r="I220" i="6" s="1"/>
  <c r="D217" i="5"/>
  <c r="D220" i="6" s="1"/>
  <c r="C217" i="5"/>
  <c r="C220" i="6" s="1"/>
  <c r="B217" i="5"/>
  <c r="B220" i="6" s="1"/>
  <c r="A217" i="5"/>
  <c r="A220" i="6" s="1"/>
  <c r="J216" i="5"/>
  <c r="I219" i="6" s="1"/>
  <c r="D216" i="5"/>
  <c r="D219" i="6" s="1"/>
  <c r="C216" i="5"/>
  <c r="C219" i="6" s="1"/>
  <c r="B216" i="5"/>
  <c r="B219" i="6" s="1"/>
  <c r="A216" i="5"/>
  <c r="A219" i="6" s="1"/>
  <c r="J215" i="5"/>
  <c r="I218" i="6" s="1"/>
  <c r="D215" i="5"/>
  <c r="D218" i="6" s="1"/>
  <c r="C215" i="5"/>
  <c r="C218" i="6" s="1"/>
  <c r="B215" i="5"/>
  <c r="B218" i="6" s="1"/>
  <c r="A215" i="5"/>
  <c r="A218" i="6" s="1"/>
  <c r="J214" i="5"/>
  <c r="I217" i="6" s="1"/>
  <c r="D214" i="5"/>
  <c r="D217" i="6" s="1"/>
  <c r="C214" i="5"/>
  <c r="C217" i="6" s="1"/>
  <c r="B214" i="5"/>
  <c r="B217" i="6" s="1"/>
  <c r="A214" i="5"/>
  <c r="A217" i="6" s="1"/>
  <c r="J213" i="5"/>
  <c r="I216" i="6" s="1"/>
  <c r="D213" i="5"/>
  <c r="D216" i="6" s="1"/>
  <c r="C213" i="5"/>
  <c r="C216" i="6" s="1"/>
  <c r="B213" i="5"/>
  <c r="B216" i="6" s="1"/>
  <c r="A213" i="5"/>
  <c r="A216" i="6" s="1"/>
  <c r="J212" i="5"/>
  <c r="I215" i="6" s="1"/>
  <c r="D212" i="5"/>
  <c r="D215" i="6" s="1"/>
  <c r="C212" i="5"/>
  <c r="C215" i="6" s="1"/>
  <c r="B212" i="5"/>
  <c r="B215" i="6" s="1"/>
  <c r="A212" i="5"/>
  <c r="A215" i="6" s="1"/>
  <c r="J211" i="5"/>
  <c r="I214" i="6" s="1"/>
  <c r="D211" i="5"/>
  <c r="D214" i="6" s="1"/>
  <c r="C211" i="5"/>
  <c r="C214" i="6" s="1"/>
  <c r="B211" i="5"/>
  <c r="B214" i="6" s="1"/>
  <c r="A211" i="5"/>
  <c r="A214" i="6" s="1"/>
  <c r="J210" i="5"/>
  <c r="I213" i="6" s="1"/>
  <c r="D210" i="5"/>
  <c r="D213" i="6" s="1"/>
  <c r="C210" i="5"/>
  <c r="C213" i="6" s="1"/>
  <c r="B210" i="5"/>
  <c r="B213" i="6" s="1"/>
  <c r="A210" i="5"/>
  <c r="A213" i="6" s="1"/>
  <c r="J209" i="5"/>
  <c r="I212" i="6" s="1"/>
  <c r="D209" i="5"/>
  <c r="D212" i="6" s="1"/>
  <c r="C209" i="5"/>
  <c r="C212" i="6" s="1"/>
  <c r="B209" i="5"/>
  <c r="B212" i="6" s="1"/>
  <c r="A209" i="5"/>
  <c r="A212" i="6" s="1"/>
  <c r="J208" i="5"/>
  <c r="I211" i="6" s="1"/>
  <c r="D208" i="5"/>
  <c r="D211" i="6" s="1"/>
  <c r="C208" i="5"/>
  <c r="C211" i="6" s="1"/>
  <c r="B208" i="5"/>
  <c r="B211" i="6" s="1"/>
  <c r="A208" i="5"/>
  <c r="A211" i="6" s="1"/>
  <c r="J207" i="5"/>
  <c r="I210" i="6" s="1"/>
  <c r="D207" i="5"/>
  <c r="D210" i="6" s="1"/>
  <c r="C207" i="5"/>
  <c r="C210" i="6" s="1"/>
  <c r="B207" i="5"/>
  <c r="B210" i="6" s="1"/>
  <c r="A207" i="5"/>
  <c r="A210" i="6" s="1"/>
  <c r="J206" i="5"/>
  <c r="I209" i="6" s="1"/>
  <c r="D206" i="5"/>
  <c r="D209" i="6" s="1"/>
  <c r="C206" i="5"/>
  <c r="C209" i="6" s="1"/>
  <c r="B206" i="5"/>
  <c r="B209" i="6" s="1"/>
  <c r="A206" i="5"/>
  <c r="A209" i="6" s="1"/>
  <c r="J205" i="5"/>
  <c r="I208" i="6" s="1"/>
  <c r="D205" i="5"/>
  <c r="D208" i="6" s="1"/>
  <c r="C205" i="5"/>
  <c r="C208" i="6" s="1"/>
  <c r="B205" i="5"/>
  <c r="B208" i="6" s="1"/>
  <c r="A205" i="5"/>
  <c r="A208" i="6" s="1"/>
  <c r="J204" i="5"/>
  <c r="I207" i="6" s="1"/>
  <c r="D204" i="5"/>
  <c r="D207" i="6" s="1"/>
  <c r="C204" i="5"/>
  <c r="C207" i="6" s="1"/>
  <c r="B204" i="5"/>
  <c r="B207" i="6" s="1"/>
  <c r="A204" i="5"/>
  <c r="A207" i="6" s="1"/>
  <c r="J203" i="5"/>
  <c r="I206" i="6" s="1"/>
  <c r="D203" i="5"/>
  <c r="D206" i="6" s="1"/>
  <c r="C203" i="5"/>
  <c r="C206" i="6" s="1"/>
  <c r="B203" i="5"/>
  <c r="B206" i="6" s="1"/>
  <c r="A203" i="5"/>
  <c r="A206" i="6" s="1"/>
  <c r="J202" i="5"/>
  <c r="I205" i="6" s="1"/>
  <c r="D202" i="5"/>
  <c r="D205" i="6" s="1"/>
  <c r="C202" i="5"/>
  <c r="C205" i="6" s="1"/>
  <c r="B202" i="5"/>
  <c r="B205" i="6" s="1"/>
  <c r="A202" i="5"/>
  <c r="A205" i="6" s="1"/>
  <c r="J201" i="5"/>
  <c r="I204" i="6" s="1"/>
  <c r="D201" i="5"/>
  <c r="D204" i="6" s="1"/>
  <c r="C201" i="5"/>
  <c r="C204" i="6" s="1"/>
  <c r="B201" i="5"/>
  <c r="B204" i="6" s="1"/>
  <c r="A201" i="5"/>
  <c r="A204" i="6" s="1"/>
  <c r="J200" i="5"/>
  <c r="I203" i="6" s="1"/>
  <c r="D200" i="5"/>
  <c r="D203" i="6" s="1"/>
  <c r="C200" i="5"/>
  <c r="C203" i="6" s="1"/>
  <c r="B200" i="5"/>
  <c r="B203" i="6" s="1"/>
  <c r="A200" i="5"/>
  <c r="A203" i="6" s="1"/>
  <c r="J199" i="5"/>
  <c r="I202" i="6" s="1"/>
  <c r="D199" i="5"/>
  <c r="D202" i="6" s="1"/>
  <c r="C199" i="5"/>
  <c r="C202" i="6" s="1"/>
  <c r="B199" i="5"/>
  <c r="B202" i="6" s="1"/>
  <c r="A199" i="5"/>
  <c r="A202" i="6" s="1"/>
  <c r="J198" i="5"/>
  <c r="I201" i="6" s="1"/>
  <c r="D198" i="5"/>
  <c r="D201" i="6" s="1"/>
  <c r="C198" i="5"/>
  <c r="C201" i="6" s="1"/>
  <c r="B198" i="5"/>
  <c r="B201" i="6" s="1"/>
  <c r="A198" i="5"/>
  <c r="A201" i="6" s="1"/>
  <c r="J197" i="5"/>
  <c r="I200" i="6" s="1"/>
  <c r="D197" i="5"/>
  <c r="D200" i="6" s="1"/>
  <c r="C197" i="5"/>
  <c r="C200" i="6" s="1"/>
  <c r="B197" i="5"/>
  <c r="B200" i="6" s="1"/>
  <c r="A197" i="5"/>
  <c r="A200" i="6" s="1"/>
  <c r="J196" i="5"/>
  <c r="I199" i="6" s="1"/>
  <c r="D196" i="5"/>
  <c r="D199" i="6" s="1"/>
  <c r="C196" i="5"/>
  <c r="C199" i="6" s="1"/>
  <c r="B196" i="5"/>
  <c r="B199" i="6" s="1"/>
  <c r="A196" i="5"/>
  <c r="A199" i="6" s="1"/>
  <c r="J195" i="5"/>
  <c r="I198" i="6" s="1"/>
  <c r="D195" i="5"/>
  <c r="D198" i="6" s="1"/>
  <c r="C195" i="5"/>
  <c r="C198" i="6" s="1"/>
  <c r="B195" i="5"/>
  <c r="B198" i="6" s="1"/>
  <c r="A195" i="5"/>
  <c r="A198" i="6" s="1"/>
  <c r="J194" i="5"/>
  <c r="I197" i="6" s="1"/>
  <c r="D194" i="5"/>
  <c r="D197" i="6" s="1"/>
  <c r="C194" i="5"/>
  <c r="C197" i="6" s="1"/>
  <c r="B194" i="5"/>
  <c r="B197" i="6" s="1"/>
  <c r="A194" i="5"/>
  <c r="A197" i="6" s="1"/>
  <c r="J193" i="5"/>
  <c r="I196" i="6" s="1"/>
  <c r="D193" i="5"/>
  <c r="D196" i="6" s="1"/>
  <c r="C193" i="5"/>
  <c r="C196" i="6" s="1"/>
  <c r="B193" i="5"/>
  <c r="B196" i="6" s="1"/>
  <c r="A193" i="5"/>
  <c r="A196" i="6" s="1"/>
  <c r="J192" i="5"/>
  <c r="I195" i="6" s="1"/>
  <c r="D192" i="5"/>
  <c r="D195" i="6" s="1"/>
  <c r="C192" i="5"/>
  <c r="C195" i="6" s="1"/>
  <c r="B192" i="5"/>
  <c r="B195" i="6" s="1"/>
  <c r="A192" i="5"/>
  <c r="A195" i="6" s="1"/>
  <c r="J191" i="5"/>
  <c r="I194" i="6" s="1"/>
  <c r="D191" i="5"/>
  <c r="D194" i="6" s="1"/>
  <c r="C191" i="5"/>
  <c r="C194" i="6" s="1"/>
  <c r="B191" i="5"/>
  <c r="B194" i="6" s="1"/>
  <c r="A191" i="5"/>
  <c r="A194" i="6" s="1"/>
  <c r="J190" i="5"/>
  <c r="I193" i="6" s="1"/>
  <c r="D190" i="5"/>
  <c r="D193" i="6" s="1"/>
  <c r="C190" i="5"/>
  <c r="C193" i="6" s="1"/>
  <c r="B190" i="5"/>
  <c r="B193" i="6" s="1"/>
  <c r="A190" i="5"/>
  <c r="A193" i="6" s="1"/>
  <c r="J189" i="5"/>
  <c r="I192" i="6" s="1"/>
  <c r="D189" i="5"/>
  <c r="D192" i="6" s="1"/>
  <c r="C189" i="5"/>
  <c r="C192" i="6" s="1"/>
  <c r="B189" i="5"/>
  <c r="B192" i="6" s="1"/>
  <c r="A189" i="5"/>
  <c r="A192" i="6" s="1"/>
  <c r="J188" i="5"/>
  <c r="I191" i="6" s="1"/>
  <c r="D188" i="5"/>
  <c r="D191" i="6" s="1"/>
  <c r="C188" i="5"/>
  <c r="C191" i="6" s="1"/>
  <c r="B188" i="5"/>
  <c r="B191" i="6" s="1"/>
  <c r="A188" i="5"/>
  <c r="A191" i="6" s="1"/>
  <c r="J187" i="5"/>
  <c r="I190" i="6" s="1"/>
  <c r="D187" i="5"/>
  <c r="D190" i="6" s="1"/>
  <c r="C187" i="5"/>
  <c r="C190" i="6" s="1"/>
  <c r="B187" i="5"/>
  <c r="B190" i="6" s="1"/>
  <c r="A187" i="5"/>
  <c r="A190" i="6" s="1"/>
  <c r="J186" i="5"/>
  <c r="I189" i="6" s="1"/>
  <c r="D186" i="5"/>
  <c r="D189" i="6" s="1"/>
  <c r="C186" i="5"/>
  <c r="C189" i="6" s="1"/>
  <c r="B186" i="5"/>
  <c r="B189" i="6" s="1"/>
  <c r="A186" i="5"/>
  <c r="A189" i="6" s="1"/>
  <c r="J185" i="5"/>
  <c r="I188" i="6" s="1"/>
  <c r="D185" i="5"/>
  <c r="D188" i="6" s="1"/>
  <c r="C185" i="5"/>
  <c r="C188" i="6" s="1"/>
  <c r="B185" i="5"/>
  <c r="B188" i="6" s="1"/>
  <c r="A185" i="5"/>
  <c r="A188" i="6" s="1"/>
  <c r="J184" i="5"/>
  <c r="I187" i="6" s="1"/>
  <c r="D184" i="5"/>
  <c r="D187" i="6" s="1"/>
  <c r="C184" i="5"/>
  <c r="C187" i="6" s="1"/>
  <c r="B184" i="5"/>
  <c r="B187" i="6" s="1"/>
  <c r="A184" i="5"/>
  <c r="A187" i="6" s="1"/>
  <c r="J183" i="5"/>
  <c r="I186" i="6" s="1"/>
  <c r="D183" i="5"/>
  <c r="D186" i="6" s="1"/>
  <c r="C183" i="5"/>
  <c r="C186" i="6" s="1"/>
  <c r="B183" i="5"/>
  <c r="B186" i="6" s="1"/>
  <c r="A183" i="5"/>
  <c r="A186" i="6" s="1"/>
  <c r="J182" i="5"/>
  <c r="I185" i="6" s="1"/>
  <c r="D182" i="5"/>
  <c r="D185" i="6" s="1"/>
  <c r="C182" i="5"/>
  <c r="C185" i="6" s="1"/>
  <c r="B182" i="5"/>
  <c r="B185" i="6" s="1"/>
  <c r="A182" i="5"/>
  <c r="A185" i="6" s="1"/>
  <c r="J181" i="5"/>
  <c r="I184" i="6" s="1"/>
  <c r="D181" i="5"/>
  <c r="D184" i="6" s="1"/>
  <c r="C181" i="5"/>
  <c r="C184" i="6" s="1"/>
  <c r="B181" i="5"/>
  <c r="B184" i="6" s="1"/>
  <c r="A181" i="5"/>
  <c r="A184" i="6" s="1"/>
  <c r="J180" i="5"/>
  <c r="I183" i="6" s="1"/>
  <c r="D180" i="5"/>
  <c r="D183" i="6" s="1"/>
  <c r="C180" i="5"/>
  <c r="C183" i="6" s="1"/>
  <c r="B180" i="5"/>
  <c r="B183" i="6" s="1"/>
  <c r="A180" i="5"/>
  <c r="A183" i="6" s="1"/>
  <c r="J179" i="5"/>
  <c r="I182" i="6" s="1"/>
  <c r="D179" i="5"/>
  <c r="D182" i="6" s="1"/>
  <c r="C179" i="5"/>
  <c r="C182" i="6" s="1"/>
  <c r="B179" i="5"/>
  <c r="B182" i="6" s="1"/>
  <c r="A179" i="5"/>
  <c r="A182" i="6" s="1"/>
  <c r="J178" i="5"/>
  <c r="I181" i="6" s="1"/>
  <c r="D178" i="5"/>
  <c r="D181" i="6" s="1"/>
  <c r="C178" i="5"/>
  <c r="C181" i="6" s="1"/>
  <c r="B178" i="5"/>
  <c r="B181" i="6" s="1"/>
  <c r="A178" i="5"/>
  <c r="A181" i="6" s="1"/>
  <c r="J177" i="5"/>
  <c r="I180" i="6" s="1"/>
  <c r="D177" i="5"/>
  <c r="D180" i="6" s="1"/>
  <c r="C177" i="5"/>
  <c r="C180" i="6" s="1"/>
  <c r="B177" i="5"/>
  <c r="B180" i="6" s="1"/>
  <c r="A177" i="5"/>
  <c r="A180" i="6" s="1"/>
  <c r="J176" i="5"/>
  <c r="I179" i="6" s="1"/>
  <c r="D176" i="5"/>
  <c r="D179" i="6" s="1"/>
  <c r="C176" i="5"/>
  <c r="C179" i="6" s="1"/>
  <c r="B176" i="5"/>
  <c r="B179" i="6" s="1"/>
  <c r="A176" i="5"/>
  <c r="A179" i="6" s="1"/>
  <c r="J175" i="5"/>
  <c r="I178" i="6" s="1"/>
  <c r="D175" i="5"/>
  <c r="D178" i="6" s="1"/>
  <c r="C175" i="5"/>
  <c r="C178" i="6" s="1"/>
  <c r="B175" i="5"/>
  <c r="B178" i="6" s="1"/>
  <c r="A175" i="5"/>
  <c r="A178" i="6" s="1"/>
  <c r="J174" i="5"/>
  <c r="I177" i="6" s="1"/>
  <c r="D174" i="5"/>
  <c r="D177" i="6" s="1"/>
  <c r="C174" i="5"/>
  <c r="C177" i="6" s="1"/>
  <c r="B174" i="5"/>
  <c r="B177" i="6" s="1"/>
  <c r="A174" i="5"/>
  <c r="A177" i="6" s="1"/>
  <c r="J173" i="5"/>
  <c r="I176" i="6" s="1"/>
  <c r="D173" i="5"/>
  <c r="D176" i="6" s="1"/>
  <c r="C173" i="5"/>
  <c r="C176" i="6" s="1"/>
  <c r="B173" i="5"/>
  <c r="B176" i="6" s="1"/>
  <c r="A173" i="5"/>
  <c r="A176" i="6" s="1"/>
  <c r="J172" i="5"/>
  <c r="I175" i="6" s="1"/>
  <c r="D172" i="5"/>
  <c r="D175" i="6" s="1"/>
  <c r="C172" i="5"/>
  <c r="C175" i="6" s="1"/>
  <c r="B172" i="5"/>
  <c r="B175" i="6" s="1"/>
  <c r="A172" i="5"/>
  <c r="A175" i="6" s="1"/>
  <c r="J171" i="5"/>
  <c r="I174" i="6" s="1"/>
  <c r="D171" i="5"/>
  <c r="D174" i="6" s="1"/>
  <c r="C171" i="5"/>
  <c r="C174" i="6" s="1"/>
  <c r="B171" i="5"/>
  <c r="B174" i="6" s="1"/>
  <c r="A171" i="5"/>
  <c r="A174" i="6" s="1"/>
  <c r="J170" i="5"/>
  <c r="I173" i="6" s="1"/>
  <c r="D170" i="5"/>
  <c r="D173" i="6" s="1"/>
  <c r="C170" i="5"/>
  <c r="C173" i="6" s="1"/>
  <c r="B170" i="5"/>
  <c r="B173" i="6" s="1"/>
  <c r="A170" i="5"/>
  <c r="A173" i="6" s="1"/>
  <c r="J169" i="5"/>
  <c r="I172" i="6" s="1"/>
  <c r="D169" i="5"/>
  <c r="D172" i="6" s="1"/>
  <c r="C169" i="5"/>
  <c r="C172" i="6" s="1"/>
  <c r="B169" i="5"/>
  <c r="B172" i="6" s="1"/>
  <c r="A169" i="5"/>
  <c r="A172" i="6" s="1"/>
  <c r="J168" i="5"/>
  <c r="I171" i="6" s="1"/>
  <c r="D168" i="5"/>
  <c r="D171" i="6" s="1"/>
  <c r="C168" i="5"/>
  <c r="C171" i="6" s="1"/>
  <c r="B168" i="5"/>
  <c r="B171" i="6" s="1"/>
  <c r="A168" i="5"/>
  <c r="A171" i="6" s="1"/>
  <c r="J167" i="5"/>
  <c r="I170" i="6" s="1"/>
  <c r="D167" i="5"/>
  <c r="D170" i="6" s="1"/>
  <c r="C167" i="5"/>
  <c r="C170" i="6" s="1"/>
  <c r="B167" i="5"/>
  <c r="B170" i="6" s="1"/>
  <c r="A167" i="5"/>
  <c r="A170" i="6" s="1"/>
  <c r="J166" i="5"/>
  <c r="I169" i="6" s="1"/>
  <c r="D166" i="5"/>
  <c r="D169" i="6" s="1"/>
  <c r="C166" i="5"/>
  <c r="C169" i="6" s="1"/>
  <c r="B166" i="5"/>
  <c r="B169" i="6" s="1"/>
  <c r="A166" i="5"/>
  <c r="A169" i="6" s="1"/>
  <c r="J165" i="5"/>
  <c r="I168" i="6" s="1"/>
  <c r="D165" i="5"/>
  <c r="D168" i="6" s="1"/>
  <c r="C165" i="5"/>
  <c r="C168" i="6" s="1"/>
  <c r="B165" i="5"/>
  <c r="B168" i="6" s="1"/>
  <c r="A165" i="5"/>
  <c r="A168" i="6" s="1"/>
  <c r="J164" i="5"/>
  <c r="I167" i="6" s="1"/>
  <c r="D164" i="5"/>
  <c r="D167" i="6" s="1"/>
  <c r="C164" i="5"/>
  <c r="C167" i="6" s="1"/>
  <c r="B164" i="5"/>
  <c r="A164" i="5"/>
  <c r="J163" i="5"/>
  <c r="I166" i="6" s="1"/>
  <c r="D163" i="5"/>
  <c r="D166" i="6" s="1"/>
  <c r="C163" i="5"/>
  <c r="C166" i="6" s="1"/>
  <c r="B163" i="5"/>
  <c r="B166" i="6" s="1"/>
  <c r="A163" i="5"/>
  <c r="A166" i="6" s="1"/>
  <c r="J162" i="5"/>
  <c r="I165" i="6" s="1"/>
  <c r="D162" i="5"/>
  <c r="D165" i="6" s="1"/>
  <c r="C162" i="5"/>
  <c r="C165" i="6" s="1"/>
  <c r="B162" i="5"/>
  <c r="B165" i="6" s="1"/>
  <c r="A162" i="5"/>
  <c r="A165" i="6" s="1"/>
  <c r="J161" i="5"/>
  <c r="I164" i="6" s="1"/>
  <c r="D161" i="5"/>
  <c r="D164" i="6" s="1"/>
  <c r="C161" i="5"/>
  <c r="C164" i="6" s="1"/>
  <c r="B161" i="5"/>
  <c r="B164" i="6" s="1"/>
  <c r="A161" i="5"/>
  <c r="A164" i="6" s="1"/>
  <c r="J160" i="5"/>
  <c r="I163" i="6" s="1"/>
  <c r="D160" i="5"/>
  <c r="D163" i="6" s="1"/>
  <c r="C160" i="5"/>
  <c r="C163" i="6" s="1"/>
  <c r="B160" i="5"/>
  <c r="B163" i="6" s="1"/>
  <c r="A160" i="5"/>
  <c r="A163" i="6" s="1"/>
  <c r="J159" i="5"/>
  <c r="I162" i="6" s="1"/>
  <c r="D159" i="5"/>
  <c r="D162" i="6" s="1"/>
  <c r="C159" i="5"/>
  <c r="C162" i="6" s="1"/>
  <c r="B159" i="5"/>
  <c r="B162" i="6" s="1"/>
  <c r="A159" i="5"/>
  <c r="A162" i="6" s="1"/>
  <c r="J158" i="5"/>
  <c r="I161" i="6" s="1"/>
  <c r="D158" i="5"/>
  <c r="D161" i="6" s="1"/>
  <c r="C158" i="5"/>
  <c r="C161" i="6" s="1"/>
  <c r="B158" i="5"/>
  <c r="B161" i="6" s="1"/>
  <c r="A158" i="5"/>
  <c r="A161" i="6" s="1"/>
  <c r="J157" i="5"/>
  <c r="I160" i="6" s="1"/>
  <c r="D157" i="5"/>
  <c r="D160" i="6" s="1"/>
  <c r="C157" i="5"/>
  <c r="C160" i="6" s="1"/>
  <c r="B157" i="5"/>
  <c r="B160" i="6" s="1"/>
  <c r="A157" i="5"/>
  <c r="A160" i="6" s="1"/>
  <c r="J156" i="5"/>
  <c r="I159" i="6" s="1"/>
  <c r="D156" i="5"/>
  <c r="D159" i="6" s="1"/>
  <c r="C156" i="5"/>
  <c r="C159" i="6" s="1"/>
  <c r="B156" i="5"/>
  <c r="B159" i="6" s="1"/>
  <c r="A156" i="5"/>
  <c r="A159" i="6" s="1"/>
  <c r="J155" i="5"/>
  <c r="I158" i="6" s="1"/>
  <c r="D155" i="5"/>
  <c r="D158" i="6" s="1"/>
  <c r="C155" i="5"/>
  <c r="C158" i="6" s="1"/>
  <c r="B155" i="5"/>
  <c r="B158" i="6" s="1"/>
  <c r="A155" i="5"/>
  <c r="A158" i="6" s="1"/>
  <c r="J154" i="5"/>
  <c r="I157" i="6" s="1"/>
  <c r="D154" i="5"/>
  <c r="D157" i="6" s="1"/>
  <c r="C154" i="5"/>
  <c r="C157" i="6" s="1"/>
  <c r="B154" i="5"/>
  <c r="B157" i="6" s="1"/>
  <c r="A154" i="5"/>
  <c r="A157" i="6" s="1"/>
  <c r="J153" i="5"/>
  <c r="I156" i="6" s="1"/>
  <c r="D153" i="5"/>
  <c r="D156" i="6" s="1"/>
  <c r="C153" i="5"/>
  <c r="C156" i="6" s="1"/>
  <c r="B153" i="5"/>
  <c r="B156" i="6" s="1"/>
  <c r="A153" i="5"/>
  <c r="A156" i="6" s="1"/>
  <c r="J152" i="5"/>
  <c r="I155" i="6" s="1"/>
  <c r="D152" i="5"/>
  <c r="D155" i="6" s="1"/>
  <c r="C152" i="5"/>
  <c r="C155" i="6" s="1"/>
  <c r="B152" i="5"/>
  <c r="B155" i="6" s="1"/>
  <c r="A152" i="5"/>
  <c r="A155" i="6" s="1"/>
  <c r="J151" i="5"/>
  <c r="I154" i="6" s="1"/>
  <c r="D151" i="5"/>
  <c r="D154" i="6" s="1"/>
  <c r="C151" i="5"/>
  <c r="C154" i="6" s="1"/>
  <c r="B151" i="5"/>
  <c r="B154" i="6" s="1"/>
  <c r="A151" i="5"/>
  <c r="A154" i="6" s="1"/>
  <c r="J150" i="5"/>
  <c r="I153" i="6" s="1"/>
  <c r="D150" i="5"/>
  <c r="D153" i="6" s="1"/>
  <c r="C150" i="5"/>
  <c r="C153" i="6" s="1"/>
  <c r="B150" i="5"/>
  <c r="B153" i="6" s="1"/>
  <c r="A150" i="5"/>
  <c r="A153" i="6" s="1"/>
  <c r="J149" i="5"/>
  <c r="I152" i="6" s="1"/>
  <c r="D149" i="5"/>
  <c r="D152" i="6" s="1"/>
  <c r="C149" i="5"/>
  <c r="C152" i="6" s="1"/>
  <c r="B149" i="5"/>
  <c r="B152" i="6" s="1"/>
  <c r="A149" i="5"/>
  <c r="A152" i="6" s="1"/>
  <c r="J148" i="5"/>
  <c r="I151" i="6" s="1"/>
  <c r="D148" i="5"/>
  <c r="D151" i="6" s="1"/>
  <c r="C148" i="5"/>
  <c r="C151" i="6" s="1"/>
  <c r="B148" i="5"/>
  <c r="B151" i="6" s="1"/>
  <c r="A148" i="5"/>
  <c r="A151" i="6" s="1"/>
  <c r="J147" i="5"/>
  <c r="I150" i="6" s="1"/>
  <c r="D147" i="5"/>
  <c r="D150" i="6" s="1"/>
  <c r="C147" i="5"/>
  <c r="C150" i="6" s="1"/>
  <c r="B147" i="5"/>
  <c r="B150" i="6" s="1"/>
  <c r="A147" i="5"/>
  <c r="A150" i="6" s="1"/>
  <c r="J146" i="5"/>
  <c r="I149" i="6" s="1"/>
  <c r="D146" i="5"/>
  <c r="D149" i="6" s="1"/>
  <c r="C146" i="5"/>
  <c r="C149" i="6" s="1"/>
  <c r="B146" i="5"/>
  <c r="B149" i="6" s="1"/>
  <c r="A146" i="5"/>
  <c r="A149" i="6" s="1"/>
  <c r="J145" i="5"/>
  <c r="I148" i="6" s="1"/>
  <c r="D145" i="5"/>
  <c r="D148" i="6" s="1"/>
  <c r="C145" i="5"/>
  <c r="C148" i="6" s="1"/>
  <c r="B145" i="5"/>
  <c r="B148" i="6" s="1"/>
  <c r="A145" i="5"/>
  <c r="A148" i="6" s="1"/>
  <c r="J144" i="5"/>
  <c r="I147" i="6" s="1"/>
  <c r="D144" i="5"/>
  <c r="D147" i="6" s="1"/>
  <c r="C144" i="5"/>
  <c r="C147" i="6" s="1"/>
  <c r="B144" i="5"/>
  <c r="B147" i="6" s="1"/>
  <c r="A144" i="5"/>
  <c r="A147" i="6" s="1"/>
  <c r="J143" i="5"/>
  <c r="I146" i="6" s="1"/>
  <c r="D143" i="5"/>
  <c r="D146" i="6" s="1"/>
  <c r="C143" i="5"/>
  <c r="C146" i="6" s="1"/>
  <c r="B143" i="5"/>
  <c r="B146" i="6" s="1"/>
  <c r="A143" i="5"/>
  <c r="A146" i="6" s="1"/>
  <c r="J142" i="5"/>
  <c r="I145" i="6" s="1"/>
  <c r="D142" i="5"/>
  <c r="D145" i="6" s="1"/>
  <c r="C142" i="5"/>
  <c r="C145" i="6" s="1"/>
  <c r="B142" i="5"/>
  <c r="B145" i="6" s="1"/>
  <c r="A142" i="5"/>
  <c r="A145" i="6" s="1"/>
  <c r="J141" i="5"/>
  <c r="I144" i="6" s="1"/>
  <c r="D141" i="5"/>
  <c r="D144" i="6" s="1"/>
  <c r="C141" i="5"/>
  <c r="C144" i="6" s="1"/>
  <c r="B141" i="5"/>
  <c r="B144" i="6" s="1"/>
  <c r="A141" i="5"/>
  <c r="A144" i="6" s="1"/>
  <c r="J140" i="5"/>
  <c r="I143" i="6" s="1"/>
  <c r="D140" i="5"/>
  <c r="D143" i="6" s="1"/>
  <c r="C140" i="5"/>
  <c r="C143" i="6" s="1"/>
  <c r="B140" i="5"/>
  <c r="B143" i="6" s="1"/>
  <c r="A140" i="5"/>
  <c r="A143" i="6" s="1"/>
  <c r="J139" i="5"/>
  <c r="I142" i="6" s="1"/>
  <c r="D139" i="5"/>
  <c r="D142" i="6" s="1"/>
  <c r="C139" i="5"/>
  <c r="C142" i="6" s="1"/>
  <c r="B139" i="5"/>
  <c r="B142" i="6" s="1"/>
  <c r="A139" i="5"/>
  <c r="A142" i="6" s="1"/>
  <c r="J138" i="5"/>
  <c r="I141" i="6" s="1"/>
  <c r="D138" i="5"/>
  <c r="D141" i="6" s="1"/>
  <c r="C138" i="5"/>
  <c r="C141" i="6" s="1"/>
  <c r="B138" i="5"/>
  <c r="B141" i="6" s="1"/>
  <c r="A138" i="5"/>
  <c r="A141" i="6" s="1"/>
  <c r="J137" i="5"/>
  <c r="I140" i="6" s="1"/>
  <c r="D137" i="5"/>
  <c r="D140" i="6" s="1"/>
  <c r="C137" i="5"/>
  <c r="C140" i="6" s="1"/>
  <c r="B137" i="5"/>
  <c r="B140" i="6" s="1"/>
  <c r="A137" i="5"/>
  <c r="A140" i="6" s="1"/>
  <c r="J136" i="5"/>
  <c r="I139" i="6" s="1"/>
  <c r="D136" i="5"/>
  <c r="D139" i="6" s="1"/>
  <c r="C136" i="5"/>
  <c r="C139" i="6" s="1"/>
  <c r="B136" i="5"/>
  <c r="B139" i="6" s="1"/>
  <c r="A136" i="5"/>
  <c r="A139" i="6" s="1"/>
  <c r="J135" i="5"/>
  <c r="I138" i="6" s="1"/>
  <c r="D135" i="5"/>
  <c r="D138" i="6" s="1"/>
  <c r="C135" i="5"/>
  <c r="C138" i="6" s="1"/>
  <c r="B135" i="5"/>
  <c r="B138" i="6" s="1"/>
  <c r="A135" i="5"/>
  <c r="A138" i="6" s="1"/>
  <c r="J134" i="5"/>
  <c r="I137" i="6" s="1"/>
  <c r="D134" i="5"/>
  <c r="D137" i="6" s="1"/>
  <c r="C134" i="5"/>
  <c r="C137" i="6" s="1"/>
  <c r="B134" i="5"/>
  <c r="B137" i="6" s="1"/>
  <c r="A134" i="5"/>
  <c r="A137" i="6" s="1"/>
  <c r="J133" i="5"/>
  <c r="I136" i="6" s="1"/>
  <c r="D133" i="5"/>
  <c r="D136" i="6" s="1"/>
  <c r="C133" i="5"/>
  <c r="C136" i="6" s="1"/>
  <c r="B133" i="5"/>
  <c r="B136" i="6" s="1"/>
  <c r="A133" i="5"/>
  <c r="A136" i="6" s="1"/>
  <c r="J132" i="5"/>
  <c r="I135" i="6" s="1"/>
  <c r="D132" i="5"/>
  <c r="D135" i="6" s="1"/>
  <c r="C132" i="5"/>
  <c r="C135" i="6" s="1"/>
  <c r="B132" i="5"/>
  <c r="B135" i="6" s="1"/>
  <c r="A132" i="5"/>
  <c r="A135" i="6" s="1"/>
  <c r="J131" i="5"/>
  <c r="I134" i="6" s="1"/>
  <c r="D131" i="5"/>
  <c r="D134" i="6" s="1"/>
  <c r="C131" i="5"/>
  <c r="C134" i="6" s="1"/>
  <c r="B131" i="5"/>
  <c r="B134" i="6" s="1"/>
  <c r="A131" i="5"/>
  <c r="A134" i="6" s="1"/>
  <c r="J130" i="5"/>
  <c r="I133" i="6" s="1"/>
  <c r="D130" i="5"/>
  <c r="D133" i="6" s="1"/>
  <c r="C130" i="5"/>
  <c r="C133" i="6" s="1"/>
  <c r="B130" i="5"/>
  <c r="B133" i="6" s="1"/>
  <c r="A130" i="5"/>
  <c r="A133" i="6" s="1"/>
  <c r="J129" i="5"/>
  <c r="I132" i="6" s="1"/>
  <c r="D129" i="5"/>
  <c r="D132" i="6" s="1"/>
  <c r="C129" i="5"/>
  <c r="C132" i="6" s="1"/>
  <c r="B129" i="5"/>
  <c r="B132" i="6" s="1"/>
  <c r="A129" i="5"/>
  <c r="A132" i="6" s="1"/>
  <c r="J128" i="5"/>
  <c r="I131" i="6" s="1"/>
  <c r="D128" i="5"/>
  <c r="D131" i="6" s="1"/>
  <c r="C128" i="5"/>
  <c r="C131" i="6" s="1"/>
  <c r="B128" i="5"/>
  <c r="B131" i="6" s="1"/>
  <c r="A128" i="5"/>
  <c r="A131" i="6" s="1"/>
  <c r="J127" i="5"/>
  <c r="I130" i="6" s="1"/>
  <c r="D127" i="5"/>
  <c r="D130" i="6" s="1"/>
  <c r="C127" i="5"/>
  <c r="C130" i="6" s="1"/>
  <c r="B127" i="5"/>
  <c r="B130" i="6" s="1"/>
  <c r="A127" i="5"/>
  <c r="A130" i="6" s="1"/>
  <c r="J126" i="5"/>
  <c r="I129" i="6" s="1"/>
  <c r="D126" i="5"/>
  <c r="D129" i="6" s="1"/>
  <c r="C126" i="5"/>
  <c r="C129" i="6" s="1"/>
  <c r="B126" i="5"/>
  <c r="B129" i="6" s="1"/>
  <c r="A126" i="5"/>
  <c r="A129" i="6" s="1"/>
  <c r="J125" i="5"/>
  <c r="I128" i="6" s="1"/>
  <c r="D125" i="5"/>
  <c r="D128" i="6" s="1"/>
  <c r="C125" i="5"/>
  <c r="C128" i="6" s="1"/>
  <c r="B125" i="5"/>
  <c r="B128" i="6" s="1"/>
  <c r="A125" i="5"/>
  <c r="A128" i="6" s="1"/>
  <c r="J124" i="5"/>
  <c r="I127" i="6" s="1"/>
  <c r="D124" i="5"/>
  <c r="D127" i="6" s="1"/>
  <c r="C124" i="5"/>
  <c r="C127" i="6" s="1"/>
  <c r="B124" i="5"/>
  <c r="B127" i="6" s="1"/>
  <c r="A124" i="5"/>
  <c r="A127" i="6" s="1"/>
  <c r="J123" i="5"/>
  <c r="I126" i="6" s="1"/>
  <c r="D123" i="5"/>
  <c r="D126" i="6" s="1"/>
  <c r="C123" i="5"/>
  <c r="C126" i="6" s="1"/>
  <c r="B123" i="5"/>
  <c r="B126" i="6" s="1"/>
  <c r="A123" i="5"/>
  <c r="A126" i="6" s="1"/>
  <c r="J122" i="5"/>
  <c r="I125" i="6" s="1"/>
  <c r="D122" i="5"/>
  <c r="D125" i="6" s="1"/>
  <c r="C122" i="5"/>
  <c r="C125" i="6" s="1"/>
  <c r="B122" i="5"/>
  <c r="B125" i="6" s="1"/>
  <c r="A122" i="5"/>
  <c r="A125" i="6" s="1"/>
  <c r="J121" i="5"/>
  <c r="I124" i="6" s="1"/>
  <c r="D121" i="5"/>
  <c r="D124" i="6" s="1"/>
  <c r="C121" i="5"/>
  <c r="C124" i="6" s="1"/>
  <c r="B121" i="5"/>
  <c r="B124" i="6" s="1"/>
  <c r="A121" i="5"/>
  <c r="A124" i="6" s="1"/>
  <c r="J120" i="5"/>
  <c r="I123" i="6" s="1"/>
  <c r="D120" i="5"/>
  <c r="D123" i="6" s="1"/>
  <c r="C120" i="5"/>
  <c r="C123" i="6" s="1"/>
  <c r="B120" i="5"/>
  <c r="B123" i="6" s="1"/>
  <c r="A120" i="5"/>
  <c r="A123" i="6" s="1"/>
  <c r="J119" i="5"/>
  <c r="I122" i="6" s="1"/>
  <c r="D119" i="5"/>
  <c r="D122" i="6" s="1"/>
  <c r="C119" i="5"/>
  <c r="C122" i="6" s="1"/>
  <c r="B119" i="5"/>
  <c r="B122" i="6" s="1"/>
  <c r="A119" i="5"/>
  <c r="A122" i="6" s="1"/>
  <c r="J118" i="5"/>
  <c r="I121" i="6" s="1"/>
  <c r="D118" i="5"/>
  <c r="D121" i="6" s="1"/>
  <c r="C118" i="5"/>
  <c r="C121" i="6" s="1"/>
  <c r="B118" i="5"/>
  <c r="B121" i="6" s="1"/>
  <c r="A118" i="5"/>
  <c r="A121" i="6" s="1"/>
  <c r="J117" i="5"/>
  <c r="I120" i="6" s="1"/>
  <c r="D117" i="5"/>
  <c r="D120" i="6" s="1"/>
  <c r="C117" i="5"/>
  <c r="C120" i="6" s="1"/>
  <c r="B117" i="5"/>
  <c r="B120" i="6" s="1"/>
  <c r="A117" i="5"/>
  <c r="A120" i="6" s="1"/>
  <c r="J116" i="5"/>
  <c r="I119" i="6" s="1"/>
  <c r="D116" i="5"/>
  <c r="D119" i="6" s="1"/>
  <c r="C116" i="5"/>
  <c r="C119" i="6" s="1"/>
  <c r="B116" i="5"/>
  <c r="B119" i="6" s="1"/>
  <c r="A116" i="5"/>
  <c r="A119" i="6" s="1"/>
  <c r="J115" i="5"/>
  <c r="I118" i="6" s="1"/>
  <c r="D115" i="5"/>
  <c r="D118" i="6" s="1"/>
  <c r="C115" i="5"/>
  <c r="C118" i="6" s="1"/>
  <c r="B115" i="5"/>
  <c r="B118" i="6" s="1"/>
  <c r="A115" i="5"/>
  <c r="A118" i="6" s="1"/>
  <c r="J114" i="5"/>
  <c r="I117" i="6" s="1"/>
  <c r="D114" i="5"/>
  <c r="D117" i="6" s="1"/>
  <c r="C114" i="5"/>
  <c r="C117" i="6" s="1"/>
  <c r="B114" i="5"/>
  <c r="B117" i="6" s="1"/>
  <c r="A114" i="5"/>
  <c r="A117" i="6" s="1"/>
  <c r="J113" i="5"/>
  <c r="I116" i="6" s="1"/>
  <c r="D113" i="5"/>
  <c r="D116" i="6" s="1"/>
  <c r="C113" i="5"/>
  <c r="C116" i="6" s="1"/>
  <c r="B113" i="5"/>
  <c r="B116" i="6" s="1"/>
  <c r="A113" i="5"/>
  <c r="A116" i="6" s="1"/>
  <c r="J112" i="5"/>
  <c r="I115" i="6" s="1"/>
  <c r="D112" i="5"/>
  <c r="D115" i="6" s="1"/>
  <c r="C112" i="5"/>
  <c r="C115" i="6" s="1"/>
  <c r="B112" i="5"/>
  <c r="B115" i="6" s="1"/>
  <c r="A112" i="5"/>
  <c r="A115" i="6" s="1"/>
  <c r="J111" i="5"/>
  <c r="I114" i="6" s="1"/>
  <c r="D111" i="5"/>
  <c r="D114" i="6" s="1"/>
  <c r="C111" i="5"/>
  <c r="C114" i="6" s="1"/>
  <c r="B111" i="5"/>
  <c r="B114" i="6" s="1"/>
  <c r="A111" i="5"/>
  <c r="A114" i="6" s="1"/>
  <c r="J110" i="5"/>
  <c r="I113" i="6" s="1"/>
  <c r="D110" i="5"/>
  <c r="D113" i="6" s="1"/>
  <c r="C110" i="5"/>
  <c r="C113" i="6" s="1"/>
  <c r="B110" i="5"/>
  <c r="B113" i="6" s="1"/>
  <c r="A110" i="5"/>
  <c r="A113" i="6" s="1"/>
  <c r="J109" i="5"/>
  <c r="I112" i="6" s="1"/>
  <c r="D109" i="5"/>
  <c r="D112" i="6" s="1"/>
  <c r="C109" i="5"/>
  <c r="C112" i="6" s="1"/>
  <c r="B109" i="5"/>
  <c r="B112" i="6" s="1"/>
  <c r="A109" i="5"/>
  <c r="A112" i="6" s="1"/>
  <c r="J108" i="5"/>
  <c r="I111" i="6" s="1"/>
  <c r="D108" i="5"/>
  <c r="D111" i="6" s="1"/>
  <c r="C108" i="5"/>
  <c r="C111" i="6" s="1"/>
  <c r="B108" i="5"/>
  <c r="B111" i="6" s="1"/>
  <c r="A108" i="5"/>
  <c r="A111" i="6" s="1"/>
  <c r="J107" i="5"/>
  <c r="I110" i="6" s="1"/>
  <c r="D107" i="5"/>
  <c r="D110" i="6" s="1"/>
  <c r="C107" i="5"/>
  <c r="C110" i="6" s="1"/>
  <c r="B107" i="5"/>
  <c r="B110" i="6" s="1"/>
  <c r="A107" i="5"/>
  <c r="A110" i="6" s="1"/>
  <c r="J106" i="5"/>
  <c r="I109" i="6" s="1"/>
  <c r="D106" i="5"/>
  <c r="D109" i="6" s="1"/>
  <c r="C106" i="5"/>
  <c r="C109" i="6" s="1"/>
  <c r="B106" i="5"/>
  <c r="B109" i="6" s="1"/>
  <c r="A106" i="5"/>
  <c r="A109" i="6" s="1"/>
  <c r="J105" i="5"/>
  <c r="I108" i="6" s="1"/>
  <c r="D105" i="5"/>
  <c r="D108" i="6" s="1"/>
  <c r="C105" i="5"/>
  <c r="C108" i="6" s="1"/>
  <c r="B105" i="5"/>
  <c r="B108" i="6" s="1"/>
  <c r="A105" i="5"/>
  <c r="A108" i="6" s="1"/>
  <c r="J104" i="5"/>
  <c r="I107" i="6" s="1"/>
  <c r="D104" i="5"/>
  <c r="D107" i="6" s="1"/>
  <c r="C104" i="5"/>
  <c r="C107" i="6" s="1"/>
  <c r="B104" i="5"/>
  <c r="B107" i="6" s="1"/>
  <c r="A104" i="5"/>
  <c r="A107" i="6" s="1"/>
  <c r="J103" i="5"/>
  <c r="I106" i="6" s="1"/>
  <c r="D103" i="5"/>
  <c r="D106" i="6" s="1"/>
  <c r="C103" i="5"/>
  <c r="C106" i="6" s="1"/>
  <c r="B103" i="5"/>
  <c r="B106" i="6" s="1"/>
  <c r="A103" i="5"/>
  <c r="A106" i="6" s="1"/>
  <c r="J102" i="5"/>
  <c r="I105" i="6" s="1"/>
  <c r="D102" i="5"/>
  <c r="D105" i="6" s="1"/>
  <c r="C102" i="5"/>
  <c r="C105" i="6" s="1"/>
  <c r="B102" i="5"/>
  <c r="B105" i="6" s="1"/>
  <c r="A102" i="5"/>
  <c r="A105" i="6" s="1"/>
  <c r="J101" i="5"/>
  <c r="I104" i="6" s="1"/>
  <c r="D101" i="5"/>
  <c r="D104" i="6" s="1"/>
  <c r="C101" i="5"/>
  <c r="C104" i="6" s="1"/>
  <c r="B101" i="5"/>
  <c r="B104" i="6" s="1"/>
  <c r="A101" i="5"/>
  <c r="A104" i="6" s="1"/>
  <c r="J100" i="5"/>
  <c r="I103" i="6" s="1"/>
  <c r="D100" i="5"/>
  <c r="D103" i="6" s="1"/>
  <c r="C100" i="5"/>
  <c r="C103" i="6" s="1"/>
  <c r="B100" i="5"/>
  <c r="B103" i="6" s="1"/>
  <c r="A100" i="5"/>
  <c r="A103" i="6" s="1"/>
  <c r="J99" i="5"/>
  <c r="I102" i="6" s="1"/>
  <c r="D99" i="5"/>
  <c r="D102" i="6" s="1"/>
  <c r="C99" i="5"/>
  <c r="C102" i="6" s="1"/>
  <c r="B99" i="5"/>
  <c r="B102" i="6" s="1"/>
  <c r="A99" i="5"/>
  <c r="A102" i="6" s="1"/>
  <c r="J98" i="5"/>
  <c r="I101" i="6" s="1"/>
  <c r="D98" i="5"/>
  <c r="D101" i="6" s="1"/>
  <c r="C98" i="5"/>
  <c r="C101" i="6" s="1"/>
  <c r="B98" i="5"/>
  <c r="B101" i="6" s="1"/>
  <c r="A98" i="5"/>
  <c r="A101" i="6" s="1"/>
  <c r="J97" i="5"/>
  <c r="I100" i="6" s="1"/>
  <c r="D97" i="5"/>
  <c r="D100" i="6" s="1"/>
  <c r="C97" i="5"/>
  <c r="C100" i="6" s="1"/>
  <c r="B97" i="5"/>
  <c r="B100" i="6" s="1"/>
  <c r="A97" i="5"/>
  <c r="A100" i="6" s="1"/>
  <c r="J96" i="5"/>
  <c r="I99" i="6" s="1"/>
  <c r="D96" i="5"/>
  <c r="D99" i="6" s="1"/>
  <c r="C96" i="5"/>
  <c r="C99" i="6" s="1"/>
  <c r="B96" i="5"/>
  <c r="B99" i="6" s="1"/>
  <c r="A96" i="5"/>
  <c r="A99" i="6" s="1"/>
  <c r="J95" i="5"/>
  <c r="I98" i="6" s="1"/>
  <c r="D95" i="5"/>
  <c r="D98" i="6" s="1"/>
  <c r="C95" i="5"/>
  <c r="C98" i="6" s="1"/>
  <c r="B95" i="5"/>
  <c r="B98" i="6" s="1"/>
  <c r="A95" i="5"/>
  <c r="A98" i="6" s="1"/>
  <c r="J94" i="5"/>
  <c r="I97" i="6" s="1"/>
  <c r="D94" i="5"/>
  <c r="D97" i="6" s="1"/>
  <c r="C94" i="5"/>
  <c r="C97" i="6" s="1"/>
  <c r="B94" i="5"/>
  <c r="B97" i="6" s="1"/>
  <c r="A94" i="5"/>
  <c r="A97" i="6" s="1"/>
  <c r="J93" i="5"/>
  <c r="I96" i="6" s="1"/>
  <c r="D93" i="5"/>
  <c r="D96" i="6" s="1"/>
  <c r="C93" i="5"/>
  <c r="C96" i="6" s="1"/>
  <c r="B93" i="5"/>
  <c r="B96" i="6" s="1"/>
  <c r="A93" i="5"/>
  <c r="A96" i="6" s="1"/>
  <c r="J92" i="5"/>
  <c r="I95" i="6" s="1"/>
  <c r="D92" i="5"/>
  <c r="D95" i="6" s="1"/>
  <c r="C92" i="5"/>
  <c r="C95" i="6" s="1"/>
  <c r="B92" i="5"/>
  <c r="B95" i="6" s="1"/>
  <c r="A92" i="5"/>
  <c r="A95" i="6" s="1"/>
  <c r="J91" i="5"/>
  <c r="I94" i="6" s="1"/>
  <c r="D91" i="5"/>
  <c r="D94" i="6" s="1"/>
  <c r="C91" i="5"/>
  <c r="C94" i="6" s="1"/>
  <c r="B91" i="5"/>
  <c r="B94" i="6" s="1"/>
  <c r="A91" i="5"/>
  <c r="A94" i="6" s="1"/>
  <c r="J90" i="5"/>
  <c r="I93" i="6" s="1"/>
  <c r="D90" i="5"/>
  <c r="D93" i="6" s="1"/>
  <c r="C90" i="5"/>
  <c r="C93" i="6" s="1"/>
  <c r="B90" i="5"/>
  <c r="B93" i="6" s="1"/>
  <c r="A90" i="5"/>
  <c r="A93" i="6" s="1"/>
  <c r="J89" i="5"/>
  <c r="I92" i="6" s="1"/>
  <c r="D89" i="5"/>
  <c r="D92" i="6" s="1"/>
  <c r="C89" i="5"/>
  <c r="C92" i="6" s="1"/>
  <c r="B89" i="5"/>
  <c r="B92" i="6" s="1"/>
  <c r="A89" i="5"/>
  <c r="A92" i="6" s="1"/>
  <c r="J88" i="5"/>
  <c r="I91" i="6" s="1"/>
  <c r="D88" i="5"/>
  <c r="D91" i="6" s="1"/>
  <c r="C88" i="5"/>
  <c r="C91" i="6" s="1"/>
  <c r="B88" i="5"/>
  <c r="B91" i="6" s="1"/>
  <c r="A88" i="5"/>
  <c r="A91" i="6" s="1"/>
  <c r="J87" i="5"/>
  <c r="I90" i="6" s="1"/>
  <c r="D87" i="5"/>
  <c r="D90" i="6" s="1"/>
  <c r="C87" i="5"/>
  <c r="C90" i="6" s="1"/>
  <c r="B87" i="5"/>
  <c r="B90" i="6" s="1"/>
  <c r="A87" i="5"/>
  <c r="A90" i="6" s="1"/>
  <c r="J86" i="5"/>
  <c r="I89" i="6" s="1"/>
  <c r="D86" i="5"/>
  <c r="D89" i="6" s="1"/>
  <c r="C86" i="5"/>
  <c r="C89" i="6" s="1"/>
  <c r="B86" i="5"/>
  <c r="B89" i="6" s="1"/>
  <c r="A86" i="5"/>
  <c r="A89" i="6" s="1"/>
  <c r="J85" i="5"/>
  <c r="I88" i="6" s="1"/>
  <c r="D85" i="5"/>
  <c r="D88" i="6" s="1"/>
  <c r="C85" i="5"/>
  <c r="C88" i="6" s="1"/>
  <c r="B85" i="5"/>
  <c r="B88" i="6" s="1"/>
  <c r="A85" i="5"/>
  <c r="A88" i="6" s="1"/>
  <c r="J84" i="5"/>
  <c r="I87" i="6" s="1"/>
  <c r="D84" i="5"/>
  <c r="D87" i="6" s="1"/>
  <c r="C84" i="5"/>
  <c r="C87" i="6" s="1"/>
  <c r="B84" i="5"/>
  <c r="B87" i="6" s="1"/>
  <c r="A84" i="5"/>
  <c r="A87" i="6" s="1"/>
  <c r="J83" i="5"/>
  <c r="I86" i="6" s="1"/>
  <c r="D83" i="5"/>
  <c r="D86" i="6" s="1"/>
  <c r="C83" i="5"/>
  <c r="C86" i="6" s="1"/>
  <c r="B83" i="5"/>
  <c r="B86" i="6" s="1"/>
  <c r="A83" i="5"/>
  <c r="A86" i="6" s="1"/>
  <c r="J82" i="5"/>
  <c r="I85" i="6" s="1"/>
  <c r="D82" i="5"/>
  <c r="D85" i="6" s="1"/>
  <c r="C82" i="5"/>
  <c r="C85" i="6" s="1"/>
  <c r="B82" i="5"/>
  <c r="B85" i="6" s="1"/>
  <c r="A82" i="5"/>
  <c r="A85" i="6" s="1"/>
  <c r="J81" i="5"/>
  <c r="I84" i="6" s="1"/>
  <c r="D81" i="5"/>
  <c r="D84" i="6" s="1"/>
  <c r="C81" i="5"/>
  <c r="C84" i="6" s="1"/>
  <c r="B81" i="5"/>
  <c r="B84" i="6" s="1"/>
  <c r="A81" i="5"/>
  <c r="A84" i="6" s="1"/>
  <c r="J80" i="5"/>
  <c r="I83" i="6" s="1"/>
  <c r="D80" i="5"/>
  <c r="D83" i="6" s="1"/>
  <c r="C80" i="5"/>
  <c r="C83" i="6" s="1"/>
  <c r="B80" i="5"/>
  <c r="B83" i="6" s="1"/>
  <c r="A80" i="5"/>
  <c r="A83" i="6" s="1"/>
  <c r="J79" i="5"/>
  <c r="I82" i="6" s="1"/>
  <c r="D79" i="5"/>
  <c r="D82" i="6" s="1"/>
  <c r="C79" i="5"/>
  <c r="C82" i="6" s="1"/>
  <c r="B79" i="5"/>
  <c r="B82" i="6" s="1"/>
  <c r="A79" i="5"/>
  <c r="A82" i="6" s="1"/>
  <c r="J78" i="5"/>
  <c r="I81" i="6" s="1"/>
  <c r="D78" i="5"/>
  <c r="D81" i="6" s="1"/>
  <c r="C78" i="5"/>
  <c r="C81" i="6" s="1"/>
  <c r="B78" i="5"/>
  <c r="B81" i="6" s="1"/>
  <c r="A78" i="5"/>
  <c r="A81" i="6" s="1"/>
  <c r="J77" i="5"/>
  <c r="I80" i="6" s="1"/>
  <c r="D77" i="5"/>
  <c r="D80" i="6" s="1"/>
  <c r="C77" i="5"/>
  <c r="C80" i="6" s="1"/>
  <c r="B77" i="5"/>
  <c r="B80" i="6" s="1"/>
  <c r="A77" i="5"/>
  <c r="A80" i="6" s="1"/>
  <c r="J76" i="5"/>
  <c r="I79" i="6" s="1"/>
  <c r="D76" i="5"/>
  <c r="D79" i="6" s="1"/>
  <c r="C76" i="5"/>
  <c r="C79" i="6" s="1"/>
  <c r="B76" i="5"/>
  <c r="B79" i="6" s="1"/>
  <c r="A76" i="5"/>
  <c r="A79" i="6" s="1"/>
  <c r="J75" i="5"/>
  <c r="I78" i="6" s="1"/>
  <c r="D75" i="5"/>
  <c r="D78" i="6" s="1"/>
  <c r="C75" i="5"/>
  <c r="C78" i="6" s="1"/>
  <c r="B75" i="5"/>
  <c r="B78" i="6" s="1"/>
  <c r="A75" i="5"/>
  <c r="A78" i="6" s="1"/>
  <c r="J74" i="5"/>
  <c r="I77" i="6" s="1"/>
  <c r="D74" i="5"/>
  <c r="D77" i="6" s="1"/>
  <c r="C74" i="5"/>
  <c r="C77" i="6" s="1"/>
  <c r="B74" i="5"/>
  <c r="B77" i="6" s="1"/>
  <c r="A74" i="5"/>
  <c r="A77" i="6" s="1"/>
  <c r="J73" i="5"/>
  <c r="I76" i="6" s="1"/>
  <c r="D73" i="5"/>
  <c r="D76" i="6" s="1"/>
  <c r="C73" i="5"/>
  <c r="C76" i="6" s="1"/>
  <c r="B73" i="5"/>
  <c r="B76" i="6" s="1"/>
  <c r="A73" i="5"/>
  <c r="A76" i="6" s="1"/>
  <c r="J72" i="5"/>
  <c r="I75" i="6" s="1"/>
  <c r="D72" i="5"/>
  <c r="D75" i="6" s="1"/>
  <c r="C72" i="5"/>
  <c r="C75" i="6" s="1"/>
  <c r="B72" i="5"/>
  <c r="B75" i="6" s="1"/>
  <c r="A72" i="5"/>
  <c r="A75" i="6" s="1"/>
  <c r="J71" i="5"/>
  <c r="I74" i="6" s="1"/>
  <c r="D71" i="5"/>
  <c r="D74" i="6" s="1"/>
  <c r="C71" i="5"/>
  <c r="C74" i="6" s="1"/>
  <c r="B71" i="5"/>
  <c r="B74" i="6" s="1"/>
  <c r="A71" i="5"/>
  <c r="A74" i="6" s="1"/>
  <c r="J70" i="5"/>
  <c r="I73" i="6" s="1"/>
  <c r="D70" i="5"/>
  <c r="D73" i="6" s="1"/>
  <c r="C70" i="5"/>
  <c r="C73" i="6" s="1"/>
  <c r="B70" i="5"/>
  <c r="B73" i="6" s="1"/>
  <c r="A70" i="5"/>
  <c r="A73" i="6" s="1"/>
  <c r="J69" i="5"/>
  <c r="I72" i="6" s="1"/>
  <c r="D69" i="5"/>
  <c r="D72" i="6" s="1"/>
  <c r="C69" i="5"/>
  <c r="C72" i="6" s="1"/>
  <c r="B69" i="5"/>
  <c r="B72" i="6" s="1"/>
  <c r="A69" i="5"/>
  <c r="A72" i="6" s="1"/>
  <c r="J68" i="5"/>
  <c r="I71" i="6" s="1"/>
  <c r="D68" i="5"/>
  <c r="D71" i="6" s="1"/>
  <c r="C68" i="5"/>
  <c r="C71" i="6" s="1"/>
  <c r="B68" i="5"/>
  <c r="B71" i="6" s="1"/>
  <c r="A68" i="5"/>
  <c r="A71" i="6" s="1"/>
  <c r="J67" i="5"/>
  <c r="I70" i="6" s="1"/>
  <c r="D67" i="5"/>
  <c r="D70" i="6" s="1"/>
  <c r="C67" i="5"/>
  <c r="C70" i="6" s="1"/>
  <c r="B67" i="5"/>
  <c r="B70" i="6" s="1"/>
  <c r="A67" i="5"/>
  <c r="A70" i="6" s="1"/>
  <c r="J66" i="5"/>
  <c r="I69" i="6" s="1"/>
  <c r="D66" i="5"/>
  <c r="D69" i="6" s="1"/>
  <c r="C66" i="5"/>
  <c r="C69" i="6" s="1"/>
  <c r="B66" i="5"/>
  <c r="B69" i="6" s="1"/>
  <c r="A66" i="5"/>
  <c r="A69" i="6" s="1"/>
  <c r="J65" i="5"/>
  <c r="I68" i="6" s="1"/>
  <c r="D65" i="5"/>
  <c r="D68" i="6" s="1"/>
  <c r="C65" i="5"/>
  <c r="C68" i="6" s="1"/>
  <c r="B65" i="5"/>
  <c r="B68" i="6" s="1"/>
  <c r="A65" i="5"/>
  <c r="A68" i="6" s="1"/>
  <c r="J64" i="5"/>
  <c r="I67" i="6" s="1"/>
  <c r="D64" i="5"/>
  <c r="D67" i="6" s="1"/>
  <c r="C64" i="5"/>
  <c r="C67" i="6" s="1"/>
  <c r="B64" i="5"/>
  <c r="B67" i="6" s="1"/>
  <c r="A64" i="5"/>
  <c r="A67" i="6" s="1"/>
  <c r="J63" i="5"/>
  <c r="I66" i="6" s="1"/>
  <c r="D63" i="5"/>
  <c r="D66" i="6" s="1"/>
  <c r="C63" i="5"/>
  <c r="C66" i="6" s="1"/>
  <c r="B63" i="5"/>
  <c r="B66" i="6" s="1"/>
  <c r="A63" i="5"/>
  <c r="A66" i="6" s="1"/>
  <c r="J62" i="5"/>
  <c r="I65" i="6" s="1"/>
  <c r="D62" i="5"/>
  <c r="D65" i="6" s="1"/>
  <c r="C62" i="5"/>
  <c r="C65" i="6" s="1"/>
  <c r="B62" i="5"/>
  <c r="B65" i="6" s="1"/>
  <c r="A62" i="5"/>
  <c r="A65" i="6" s="1"/>
  <c r="J61" i="5"/>
  <c r="I64" i="6" s="1"/>
  <c r="D61" i="5"/>
  <c r="D64" i="6" s="1"/>
  <c r="C61" i="5"/>
  <c r="C64" i="6" s="1"/>
  <c r="B61" i="5"/>
  <c r="B64" i="6" s="1"/>
  <c r="A61" i="5"/>
  <c r="A64" i="6" s="1"/>
  <c r="J60" i="5"/>
  <c r="I63" i="6" s="1"/>
  <c r="D60" i="5"/>
  <c r="D63" i="6" s="1"/>
  <c r="C60" i="5"/>
  <c r="C63" i="6" s="1"/>
  <c r="B60" i="5"/>
  <c r="B63" i="6" s="1"/>
  <c r="A60" i="5"/>
  <c r="A63" i="6" s="1"/>
  <c r="J59" i="5"/>
  <c r="I62" i="6" s="1"/>
  <c r="D59" i="5"/>
  <c r="D62" i="6" s="1"/>
  <c r="C59" i="5"/>
  <c r="C62" i="6" s="1"/>
  <c r="B59" i="5"/>
  <c r="B62" i="6" s="1"/>
  <c r="A59" i="5"/>
  <c r="A62" i="6" s="1"/>
  <c r="J58" i="5"/>
  <c r="I61" i="6" s="1"/>
  <c r="D58" i="5"/>
  <c r="D61" i="6" s="1"/>
  <c r="C58" i="5"/>
  <c r="C61" i="6" s="1"/>
  <c r="B58" i="5"/>
  <c r="B61" i="6" s="1"/>
  <c r="A58" i="5"/>
  <c r="A61" i="6" s="1"/>
  <c r="J57" i="5"/>
  <c r="I60" i="6" s="1"/>
  <c r="D57" i="5"/>
  <c r="D60" i="6" s="1"/>
  <c r="C57" i="5"/>
  <c r="C60" i="6" s="1"/>
  <c r="B57" i="5"/>
  <c r="B60" i="6" s="1"/>
  <c r="A57" i="5"/>
  <c r="A60" i="6" s="1"/>
  <c r="J56" i="5"/>
  <c r="I59" i="6" s="1"/>
  <c r="D56" i="5"/>
  <c r="D59" i="6" s="1"/>
  <c r="C56" i="5"/>
  <c r="C59" i="6" s="1"/>
  <c r="B56" i="5"/>
  <c r="B59" i="6" s="1"/>
  <c r="A56" i="5"/>
  <c r="A59" i="6" s="1"/>
  <c r="J55" i="5"/>
  <c r="I58" i="6" s="1"/>
  <c r="D55" i="5"/>
  <c r="D58" i="6" s="1"/>
  <c r="C55" i="5"/>
  <c r="C58" i="6" s="1"/>
  <c r="B55" i="5"/>
  <c r="B58" i="6" s="1"/>
  <c r="A55" i="5"/>
  <c r="A58" i="6" s="1"/>
  <c r="J54" i="5"/>
  <c r="I57" i="6" s="1"/>
  <c r="D54" i="5"/>
  <c r="D57" i="6" s="1"/>
  <c r="C54" i="5"/>
  <c r="C57" i="6" s="1"/>
  <c r="B54" i="5"/>
  <c r="B57" i="6" s="1"/>
  <c r="A54" i="5"/>
  <c r="A57" i="6" s="1"/>
  <c r="J53" i="5"/>
  <c r="I56" i="6" s="1"/>
  <c r="D53" i="5"/>
  <c r="D56" i="6" s="1"/>
  <c r="C53" i="5"/>
  <c r="C56" i="6" s="1"/>
  <c r="B53" i="5"/>
  <c r="B56" i="6" s="1"/>
  <c r="A53" i="5"/>
  <c r="A56" i="6" s="1"/>
  <c r="J52" i="5"/>
  <c r="I55" i="6" s="1"/>
  <c r="D52" i="5"/>
  <c r="D55" i="6" s="1"/>
  <c r="C52" i="5"/>
  <c r="C55" i="6" s="1"/>
  <c r="B52" i="5"/>
  <c r="B55" i="6" s="1"/>
  <c r="A52" i="5"/>
  <c r="A55" i="6" s="1"/>
  <c r="J51" i="5"/>
  <c r="I54" i="6" s="1"/>
  <c r="D51" i="5"/>
  <c r="D54" i="6" s="1"/>
  <c r="C51" i="5"/>
  <c r="C54" i="6" s="1"/>
  <c r="B51" i="5"/>
  <c r="B54" i="6" s="1"/>
  <c r="A51" i="5"/>
  <c r="A54" i="6" s="1"/>
  <c r="J50" i="5"/>
  <c r="I53" i="6" s="1"/>
  <c r="D50" i="5"/>
  <c r="D53" i="6" s="1"/>
  <c r="C50" i="5"/>
  <c r="C53" i="6" s="1"/>
  <c r="B50" i="5"/>
  <c r="B53" i="6" s="1"/>
  <c r="A50" i="5"/>
  <c r="A53" i="6" s="1"/>
  <c r="J49" i="5"/>
  <c r="I52" i="6" s="1"/>
  <c r="D49" i="5"/>
  <c r="D52" i="6" s="1"/>
  <c r="C49" i="5"/>
  <c r="C52" i="6" s="1"/>
  <c r="B49" i="5"/>
  <c r="B52" i="6" s="1"/>
  <c r="A49" i="5"/>
  <c r="A52" i="6" s="1"/>
  <c r="J48" i="5"/>
  <c r="I51" i="6" s="1"/>
  <c r="D48" i="5"/>
  <c r="D51" i="6" s="1"/>
  <c r="C48" i="5"/>
  <c r="C51" i="6" s="1"/>
  <c r="B48" i="5"/>
  <c r="B51" i="6" s="1"/>
  <c r="A48" i="5"/>
  <c r="A51" i="6" s="1"/>
  <c r="J47" i="5"/>
  <c r="I50" i="6" s="1"/>
  <c r="D47" i="5"/>
  <c r="D50" i="6" s="1"/>
  <c r="C47" i="5"/>
  <c r="C50" i="6" s="1"/>
  <c r="B47" i="5"/>
  <c r="B50" i="6" s="1"/>
  <c r="A47" i="5"/>
  <c r="A50" i="6" s="1"/>
  <c r="J46" i="5"/>
  <c r="I49" i="6" s="1"/>
  <c r="D46" i="5"/>
  <c r="D49" i="6" s="1"/>
  <c r="C46" i="5"/>
  <c r="C49" i="6" s="1"/>
  <c r="B46" i="5"/>
  <c r="B49" i="6" s="1"/>
  <c r="A46" i="5"/>
  <c r="A49" i="6" s="1"/>
  <c r="J45" i="5"/>
  <c r="I48" i="6" s="1"/>
  <c r="D45" i="5"/>
  <c r="D48" i="6" s="1"/>
  <c r="C45" i="5"/>
  <c r="C48" i="6" s="1"/>
  <c r="B45" i="5"/>
  <c r="B48" i="6" s="1"/>
  <c r="A45" i="5"/>
  <c r="A48" i="6" s="1"/>
  <c r="J44" i="5"/>
  <c r="I47" i="6" s="1"/>
  <c r="D44" i="5"/>
  <c r="D47" i="6" s="1"/>
  <c r="C44" i="5"/>
  <c r="C47" i="6" s="1"/>
  <c r="B44" i="5"/>
  <c r="A44" i="5"/>
  <c r="J43" i="5"/>
  <c r="I46" i="6" s="1"/>
  <c r="D43" i="5"/>
  <c r="D46" i="6" s="1"/>
  <c r="C43" i="5"/>
  <c r="C46" i="6" s="1"/>
  <c r="B43" i="5"/>
  <c r="B46" i="6" s="1"/>
  <c r="A43" i="5"/>
  <c r="A46" i="6" s="1"/>
  <c r="J42" i="5"/>
  <c r="I45" i="6" s="1"/>
  <c r="D42" i="5"/>
  <c r="D45" i="6" s="1"/>
  <c r="C42" i="5"/>
  <c r="C45" i="6" s="1"/>
  <c r="B42" i="5"/>
  <c r="B45" i="6" s="1"/>
  <c r="A42" i="5"/>
  <c r="A45" i="6" s="1"/>
  <c r="J41" i="5"/>
  <c r="I44" i="6" s="1"/>
  <c r="D41" i="5"/>
  <c r="D44" i="6" s="1"/>
  <c r="C41" i="5"/>
  <c r="C44" i="6" s="1"/>
  <c r="B41" i="5"/>
  <c r="B44" i="6" s="1"/>
  <c r="A41" i="5"/>
  <c r="A44" i="6" s="1"/>
  <c r="J40" i="5"/>
  <c r="I43" i="6" s="1"/>
  <c r="D40" i="5"/>
  <c r="D43" i="6" s="1"/>
  <c r="C40" i="5"/>
  <c r="C43" i="6" s="1"/>
  <c r="B40" i="5"/>
  <c r="B43" i="6" s="1"/>
  <c r="A40" i="5"/>
  <c r="A43" i="6" s="1"/>
  <c r="J39" i="5"/>
  <c r="I42" i="6" s="1"/>
  <c r="D39" i="5"/>
  <c r="D42" i="6" s="1"/>
  <c r="C39" i="5"/>
  <c r="C42" i="6" s="1"/>
  <c r="B39" i="5"/>
  <c r="B42" i="6" s="1"/>
  <c r="A39" i="5"/>
  <c r="A42" i="6" s="1"/>
  <c r="J38" i="5"/>
  <c r="I41" i="6" s="1"/>
  <c r="D38" i="5"/>
  <c r="D41" i="6" s="1"/>
  <c r="C38" i="5"/>
  <c r="C41" i="6" s="1"/>
  <c r="B38" i="5"/>
  <c r="B41" i="6" s="1"/>
  <c r="A38" i="5"/>
  <c r="A41" i="6" s="1"/>
  <c r="J37" i="5"/>
  <c r="I40" i="6" s="1"/>
  <c r="D37" i="5"/>
  <c r="D40" i="6" s="1"/>
  <c r="C37" i="5"/>
  <c r="C40" i="6" s="1"/>
  <c r="B37" i="5"/>
  <c r="B40" i="6" s="1"/>
  <c r="A37" i="5"/>
  <c r="A40" i="6" s="1"/>
  <c r="J36" i="5"/>
  <c r="I39" i="6" s="1"/>
  <c r="D36" i="5"/>
  <c r="D39" i="6" s="1"/>
  <c r="C36" i="5"/>
  <c r="C39" i="6" s="1"/>
  <c r="B36" i="5"/>
  <c r="B39" i="6" s="1"/>
  <c r="A36" i="5"/>
  <c r="A39" i="6" s="1"/>
  <c r="J35" i="5"/>
  <c r="I38" i="6" s="1"/>
  <c r="D35" i="5"/>
  <c r="D38" i="6" s="1"/>
  <c r="C35" i="5"/>
  <c r="C38" i="6" s="1"/>
  <c r="B35" i="5"/>
  <c r="B38" i="6" s="1"/>
  <c r="A35" i="5"/>
  <c r="A38" i="6" s="1"/>
  <c r="J34" i="5"/>
  <c r="I37" i="6" s="1"/>
  <c r="D34" i="5"/>
  <c r="D37" i="6" s="1"/>
  <c r="C34" i="5"/>
  <c r="C37" i="6" s="1"/>
  <c r="B34" i="5"/>
  <c r="B37" i="6" s="1"/>
  <c r="A34" i="5"/>
  <c r="A37" i="6" s="1"/>
  <c r="J33" i="5"/>
  <c r="I36" i="6" s="1"/>
  <c r="D33" i="5"/>
  <c r="D36" i="6" s="1"/>
  <c r="C33" i="5"/>
  <c r="C36" i="6" s="1"/>
  <c r="B33" i="5"/>
  <c r="B36" i="6" s="1"/>
  <c r="A33" i="5"/>
  <c r="A36" i="6" s="1"/>
  <c r="J32" i="5"/>
  <c r="I35" i="6" s="1"/>
  <c r="D32" i="5"/>
  <c r="D35" i="6" s="1"/>
  <c r="C32" i="5"/>
  <c r="C35" i="6" s="1"/>
  <c r="B32" i="5"/>
  <c r="B35" i="6" s="1"/>
  <c r="A32" i="5"/>
  <c r="A35" i="6" s="1"/>
  <c r="J31" i="5"/>
  <c r="I34" i="6" s="1"/>
  <c r="D31" i="5"/>
  <c r="D34" i="6" s="1"/>
  <c r="C31" i="5"/>
  <c r="C34" i="6" s="1"/>
  <c r="B31" i="5"/>
  <c r="B34" i="6" s="1"/>
  <c r="A31" i="5"/>
  <c r="A34" i="6" s="1"/>
  <c r="J30" i="5"/>
  <c r="I33" i="6" s="1"/>
  <c r="D30" i="5"/>
  <c r="D33" i="6" s="1"/>
  <c r="C30" i="5"/>
  <c r="C33" i="6" s="1"/>
  <c r="B30" i="5"/>
  <c r="B33" i="6" s="1"/>
  <c r="A30" i="5"/>
  <c r="A33" i="6" s="1"/>
  <c r="J29" i="5"/>
  <c r="I32" i="6" s="1"/>
  <c r="D29" i="5"/>
  <c r="D32" i="6" s="1"/>
  <c r="C29" i="5"/>
  <c r="C32" i="6" s="1"/>
  <c r="B29" i="5"/>
  <c r="B32" i="6" s="1"/>
  <c r="A29" i="5"/>
  <c r="A32" i="6" s="1"/>
  <c r="J28" i="5"/>
  <c r="I31" i="6" s="1"/>
  <c r="D28" i="5"/>
  <c r="D31" i="6" s="1"/>
  <c r="C28" i="5"/>
  <c r="C31" i="6" s="1"/>
  <c r="B28" i="5"/>
  <c r="B31" i="6" s="1"/>
  <c r="A28" i="5"/>
  <c r="A31" i="6" s="1"/>
  <c r="J27" i="5"/>
  <c r="I30" i="6" s="1"/>
  <c r="D27" i="5"/>
  <c r="D30" i="6" s="1"/>
  <c r="C27" i="5"/>
  <c r="C30" i="6" s="1"/>
  <c r="B27" i="5"/>
  <c r="B30" i="6" s="1"/>
  <c r="A27" i="5"/>
  <c r="A30" i="6" s="1"/>
  <c r="J26" i="5"/>
  <c r="I29" i="6" s="1"/>
  <c r="D26" i="5"/>
  <c r="D29" i="6" s="1"/>
  <c r="C26" i="5"/>
  <c r="C29" i="6" s="1"/>
  <c r="B26" i="5"/>
  <c r="B29" i="6" s="1"/>
  <c r="A26" i="5"/>
  <c r="A29" i="6" s="1"/>
  <c r="J25" i="5"/>
  <c r="I28" i="6" s="1"/>
  <c r="D25" i="5"/>
  <c r="D28" i="6" s="1"/>
  <c r="C25" i="5"/>
  <c r="C28" i="6" s="1"/>
  <c r="B25" i="5"/>
  <c r="B28" i="6" s="1"/>
  <c r="A25" i="5"/>
  <c r="A28" i="6" s="1"/>
  <c r="J24" i="5"/>
  <c r="I27" i="6" s="1"/>
  <c r="D24" i="5"/>
  <c r="D27" i="6" s="1"/>
  <c r="C24" i="5"/>
  <c r="C27" i="6" s="1"/>
  <c r="B24" i="5"/>
  <c r="B27" i="6" s="1"/>
  <c r="A24" i="5"/>
  <c r="A27" i="6" s="1"/>
  <c r="J23" i="5"/>
  <c r="I26" i="6" s="1"/>
  <c r="D23" i="5"/>
  <c r="D26" i="6" s="1"/>
  <c r="C23" i="5"/>
  <c r="C26" i="6" s="1"/>
  <c r="B23" i="5"/>
  <c r="B26" i="6" s="1"/>
  <c r="A23" i="5"/>
  <c r="A26" i="6" s="1"/>
  <c r="J22" i="5"/>
  <c r="I25" i="6" s="1"/>
  <c r="D22" i="5"/>
  <c r="D25" i="6" s="1"/>
  <c r="C22" i="5"/>
  <c r="C25" i="6" s="1"/>
  <c r="B22" i="5"/>
  <c r="B25" i="6" s="1"/>
  <c r="A22" i="5"/>
  <c r="A25" i="6" s="1"/>
  <c r="J21" i="5"/>
  <c r="I24" i="6" s="1"/>
  <c r="D21" i="5"/>
  <c r="D24" i="6" s="1"/>
  <c r="C21" i="5"/>
  <c r="C24" i="6" s="1"/>
  <c r="B21" i="5"/>
  <c r="B24" i="6" s="1"/>
  <c r="A21" i="5"/>
  <c r="A24" i="6" s="1"/>
  <c r="J20" i="5"/>
  <c r="I23" i="6" s="1"/>
  <c r="D20" i="5"/>
  <c r="D23" i="6" s="1"/>
  <c r="C20" i="5"/>
  <c r="C23" i="6" s="1"/>
  <c r="B20" i="5"/>
  <c r="B23" i="6" s="1"/>
  <c r="A20" i="5"/>
  <c r="A23" i="6" s="1"/>
  <c r="J19" i="5"/>
  <c r="I22" i="6" s="1"/>
  <c r="D19" i="5"/>
  <c r="D22" i="6" s="1"/>
  <c r="C19" i="5"/>
  <c r="C22" i="6" s="1"/>
  <c r="B19" i="5"/>
  <c r="B22" i="6" s="1"/>
  <c r="A19" i="5"/>
  <c r="A22" i="6" s="1"/>
  <c r="J18" i="5"/>
  <c r="I21" i="6" s="1"/>
  <c r="D18" i="5"/>
  <c r="D21" i="6" s="1"/>
  <c r="C18" i="5"/>
  <c r="C21" i="6" s="1"/>
  <c r="B18" i="5"/>
  <c r="B21" i="6" s="1"/>
  <c r="A18" i="5"/>
  <c r="A21" i="6" s="1"/>
  <c r="J17" i="5"/>
  <c r="I20" i="6" s="1"/>
  <c r="D17" i="5"/>
  <c r="D20" i="6" s="1"/>
  <c r="C17" i="5"/>
  <c r="C20" i="6" s="1"/>
  <c r="B17" i="5"/>
  <c r="B20" i="6" s="1"/>
  <c r="A17" i="5"/>
  <c r="A20" i="6" s="1"/>
  <c r="J16" i="5"/>
  <c r="I19" i="6" s="1"/>
  <c r="D16" i="5"/>
  <c r="D19" i="6" s="1"/>
  <c r="C16" i="5"/>
  <c r="C19" i="6" s="1"/>
  <c r="B16" i="5"/>
  <c r="B19" i="6" s="1"/>
  <c r="A16" i="5"/>
  <c r="A19" i="6" s="1"/>
  <c r="J15" i="5"/>
  <c r="I18" i="6" s="1"/>
  <c r="D15" i="5"/>
  <c r="D18" i="6" s="1"/>
  <c r="C15" i="5"/>
  <c r="C18" i="6" s="1"/>
  <c r="B15" i="5"/>
  <c r="B18" i="6" s="1"/>
  <c r="A15" i="5"/>
  <c r="A18" i="6" s="1"/>
  <c r="J14" i="5"/>
  <c r="I17" i="6" s="1"/>
  <c r="D14" i="5"/>
  <c r="D17" i="6" s="1"/>
  <c r="C14" i="5"/>
  <c r="C17" i="6" s="1"/>
  <c r="B14" i="5"/>
  <c r="B17" i="6" s="1"/>
  <c r="A14" i="5"/>
  <c r="A17" i="6" s="1"/>
  <c r="J13" i="5"/>
  <c r="I16" i="6" s="1"/>
  <c r="D13" i="5"/>
  <c r="D16" i="6" s="1"/>
  <c r="C13" i="5"/>
  <c r="C16" i="6" s="1"/>
  <c r="B13" i="5"/>
  <c r="B16" i="6" s="1"/>
  <c r="A13" i="5"/>
  <c r="A16" i="6" s="1"/>
  <c r="J12" i="5"/>
  <c r="I15" i="6" s="1"/>
  <c r="D12" i="5"/>
  <c r="D15" i="6" s="1"/>
  <c r="C12" i="5"/>
  <c r="C15" i="6" s="1"/>
  <c r="B12" i="5"/>
  <c r="B15" i="6" s="1"/>
  <c r="A12" i="5"/>
  <c r="A15" i="6" s="1"/>
  <c r="J11" i="5"/>
  <c r="I14" i="6" s="1"/>
  <c r="I247" i="6" s="1"/>
  <c r="D11" i="5"/>
  <c r="D14" i="6" s="1"/>
  <c r="D247" i="6" s="1"/>
  <c r="C11" i="5"/>
  <c r="C14" i="6" s="1"/>
  <c r="B11" i="5"/>
  <c r="B14" i="6" s="1"/>
  <c r="A11" i="5"/>
  <c r="A14" i="6" s="1"/>
  <c r="B247" i="6" s="1"/>
  <c r="F243" i="4"/>
  <c r="G242" i="4"/>
  <c r="C242" i="4"/>
  <c r="B242" i="4"/>
  <c r="A242" i="4"/>
  <c r="G241" i="4"/>
  <c r="C241" i="4"/>
  <c r="B241" i="4"/>
  <c r="A241" i="4"/>
  <c r="G240" i="4"/>
  <c r="C240" i="4"/>
  <c r="B240" i="4"/>
  <c r="A240" i="4"/>
  <c r="G239" i="4"/>
  <c r="C239" i="4"/>
  <c r="B239" i="4"/>
  <c r="A239" i="4"/>
  <c r="G238" i="4"/>
  <c r="C238" i="4"/>
  <c r="B238" i="4"/>
  <c r="A238" i="4"/>
  <c r="G237" i="4"/>
  <c r="C237" i="4"/>
  <c r="B237" i="4"/>
  <c r="A237" i="4"/>
  <c r="G236" i="4"/>
  <c r="C236" i="4"/>
  <c r="B236" i="4"/>
  <c r="A236" i="4"/>
  <c r="G235" i="4"/>
  <c r="C235" i="4"/>
  <c r="B235" i="4"/>
  <c r="A235" i="4"/>
  <c r="G234" i="4"/>
  <c r="C234" i="4"/>
  <c r="B234" i="4"/>
  <c r="A234" i="4"/>
  <c r="G233" i="4"/>
  <c r="C233" i="4"/>
  <c r="B233" i="4"/>
  <c r="A233" i="4"/>
  <c r="G232" i="4"/>
  <c r="C232" i="4"/>
  <c r="B232" i="4"/>
  <c r="A232" i="4"/>
  <c r="G231" i="4"/>
  <c r="C231" i="4"/>
  <c r="B231" i="4"/>
  <c r="A231" i="4"/>
  <c r="G230" i="4"/>
  <c r="C230" i="4"/>
  <c r="B230" i="4"/>
  <c r="A230" i="4"/>
  <c r="G229" i="4"/>
  <c r="C229" i="4"/>
  <c r="B229" i="4"/>
  <c r="A229" i="4"/>
  <c r="G228" i="4"/>
  <c r="C228" i="4"/>
  <c r="B228" i="4"/>
  <c r="A228" i="4"/>
  <c r="G227" i="4"/>
  <c r="C227" i="4"/>
  <c r="B227" i="4"/>
  <c r="A227" i="4"/>
  <c r="G226" i="4"/>
  <c r="C226" i="4"/>
  <c r="B226" i="4"/>
  <c r="A226" i="4"/>
  <c r="G225" i="4"/>
  <c r="C225" i="4"/>
  <c r="B225" i="4"/>
  <c r="A225" i="4"/>
  <c r="G224" i="4"/>
  <c r="C224" i="4"/>
  <c r="B224" i="4"/>
  <c r="A224" i="4"/>
  <c r="G223" i="4"/>
  <c r="C223" i="4"/>
  <c r="B223" i="4"/>
  <c r="A223" i="4"/>
  <c r="G222" i="4"/>
  <c r="C222" i="4"/>
  <c r="B222" i="4"/>
  <c r="A222" i="4"/>
  <c r="G221" i="4"/>
  <c r="C221" i="4"/>
  <c r="B221" i="4"/>
  <c r="A221" i="4"/>
  <c r="G220" i="4"/>
  <c r="C220" i="4"/>
  <c r="B220" i="4"/>
  <c r="A220" i="4"/>
  <c r="G219" i="4"/>
  <c r="C219" i="4"/>
  <c r="B219" i="4"/>
  <c r="A219" i="4"/>
  <c r="G218" i="4"/>
  <c r="C218" i="4"/>
  <c r="B218" i="4"/>
  <c r="A218" i="4"/>
  <c r="G217" i="4"/>
  <c r="C217" i="4"/>
  <c r="B217" i="4"/>
  <c r="A217" i="4"/>
  <c r="G216" i="4"/>
  <c r="C216" i="4"/>
  <c r="B216" i="4"/>
  <c r="A216" i="4"/>
  <c r="G215" i="4"/>
  <c r="C215" i="4"/>
  <c r="B215" i="4"/>
  <c r="A215" i="4"/>
  <c r="G214" i="4"/>
  <c r="C214" i="4"/>
  <c r="B214" i="4"/>
  <c r="A214" i="4"/>
  <c r="G213" i="4"/>
  <c r="C213" i="4"/>
  <c r="B213" i="4"/>
  <c r="A213" i="4"/>
  <c r="G212" i="4"/>
  <c r="C212" i="4"/>
  <c r="B212" i="4"/>
  <c r="A212" i="4"/>
  <c r="G211" i="4"/>
  <c r="C211" i="4"/>
  <c r="B211" i="4"/>
  <c r="A211" i="4"/>
  <c r="G210" i="4"/>
  <c r="C210" i="4"/>
  <c r="B210" i="4"/>
  <c r="A210" i="4"/>
  <c r="G209" i="4"/>
  <c r="C209" i="4"/>
  <c r="B209" i="4"/>
  <c r="A209" i="4"/>
  <c r="G208" i="4"/>
  <c r="C208" i="4"/>
  <c r="B208" i="4"/>
  <c r="A208" i="4"/>
  <c r="G207" i="4"/>
  <c r="C207" i="4"/>
  <c r="B207" i="4"/>
  <c r="A207" i="4"/>
  <c r="G206" i="4"/>
  <c r="C206" i="4"/>
  <c r="B206" i="4"/>
  <c r="A206" i="4"/>
  <c r="G205" i="4"/>
  <c r="C205" i="4"/>
  <c r="B205" i="4"/>
  <c r="A205" i="4"/>
  <c r="G204" i="4"/>
  <c r="C204" i="4"/>
  <c r="B204" i="4"/>
  <c r="A204" i="4"/>
  <c r="G203" i="4"/>
  <c r="C203" i="4"/>
  <c r="B203" i="4"/>
  <c r="A203" i="4"/>
  <c r="G202" i="4"/>
  <c r="C202" i="4"/>
  <c r="B202" i="4"/>
  <c r="A202" i="4"/>
  <c r="G201" i="4"/>
  <c r="C201" i="4"/>
  <c r="B201" i="4"/>
  <c r="A201" i="4"/>
  <c r="G200" i="4"/>
  <c r="C200" i="4"/>
  <c r="B200" i="4"/>
  <c r="A200" i="4"/>
  <c r="G199" i="4"/>
  <c r="C199" i="4"/>
  <c r="B199" i="4"/>
  <c r="A199" i="4"/>
  <c r="G198" i="4"/>
  <c r="C198" i="4"/>
  <c r="B198" i="4"/>
  <c r="A198" i="4"/>
  <c r="G197" i="4"/>
  <c r="C197" i="4"/>
  <c r="B197" i="4"/>
  <c r="A197" i="4"/>
  <c r="G196" i="4"/>
  <c r="C196" i="4"/>
  <c r="B196" i="4"/>
  <c r="A196" i="4"/>
  <c r="G195" i="4"/>
  <c r="C195" i="4"/>
  <c r="B195" i="4"/>
  <c r="A195" i="4"/>
  <c r="G194" i="4"/>
  <c r="C194" i="4"/>
  <c r="B194" i="4"/>
  <c r="A194" i="4"/>
  <c r="G193" i="4"/>
  <c r="C193" i="4"/>
  <c r="B193" i="4"/>
  <c r="A193" i="4"/>
  <c r="G192" i="4"/>
  <c r="C192" i="4"/>
  <c r="B192" i="4"/>
  <c r="A192" i="4"/>
  <c r="G191" i="4"/>
  <c r="C191" i="4"/>
  <c r="B191" i="4"/>
  <c r="A191" i="4"/>
  <c r="G190" i="4"/>
  <c r="C190" i="4"/>
  <c r="B190" i="4"/>
  <c r="A190" i="4"/>
  <c r="G189" i="4"/>
  <c r="C189" i="4"/>
  <c r="B189" i="4"/>
  <c r="A189" i="4"/>
  <c r="G188" i="4"/>
  <c r="C188" i="4"/>
  <c r="B188" i="4"/>
  <c r="A188" i="4"/>
  <c r="G187" i="4"/>
  <c r="C187" i="4"/>
  <c r="B187" i="4"/>
  <c r="A187" i="4"/>
  <c r="G186" i="4"/>
  <c r="C186" i="4"/>
  <c r="B186" i="4"/>
  <c r="A186" i="4"/>
  <c r="G185" i="4"/>
  <c r="C185" i="4"/>
  <c r="B185" i="4"/>
  <c r="A185" i="4"/>
  <c r="G184" i="4"/>
  <c r="C184" i="4"/>
  <c r="B184" i="4"/>
  <c r="A184" i="4"/>
  <c r="G183" i="4"/>
  <c r="C183" i="4"/>
  <c r="B183" i="4"/>
  <c r="A183" i="4"/>
  <c r="G182" i="4"/>
  <c r="C182" i="4"/>
  <c r="B182" i="4"/>
  <c r="A182" i="4"/>
  <c r="G181" i="4"/>
  <c r="C181" i="4"/>
  <c r="B181" i="4"/>
  <c r="A181" i="4"/>
  <c r="G180" i="4"/>
  <c r="C180" i="4"/>
  <c r="B180" i="4"/>
  <c r="A180" i="4"/>
  <c r="G179" i="4"/>
  <c r="C179" i="4"/>
  <c r="B179" i="4"/>
  <c r="A179" i="4"/>
  <c r="G178" i="4"/>
  <c r="C178" i="4"/>
  <c r="B178" i="4"/>
  <c r="A178" i="4"/>
  <c r="G177" i="4"/>
  <c r="C177" i="4"/>
  <c r="B177" i="4"/>
  <c r="A177" i="4"/>
  <c r="G176" i="4"/>
  <c r="C176" i="4"/>
  <c r="B176" i="4"/>
  <c r="A176" i="4"/>
  <c r="G175" i="4"/>
  <c r="C175" i="4"/>
  <c r="B175" i="4"/>
  <c r="A175" i="4"/>
  <c r="G174" i="4"/>
  <c r="C174" i="4"/>
  <c r="B174" i="4"/>
  <c r="A174" i="4"/>
  <c r="G173" i="4"/>
  <c r="C173" i="4"/>
  <c r="B173" i="4"/>
  <c r="A173" i="4"/>
  <c r="G172" i="4"/>
  <c r="C172" i="4"/>
  <c r="B172" i="4"/>
  <c r="A172" i="4"/>
  <c r="G171" i="4"/>
  <c r="C171" i="4"/>
  <c r="B171" i="4"/>
  <c r="A171" i="4"/>
  <c r="G170" i="4"/>
  <c r="C170" i="4"/>
  <c r="B170" i="4"/>
  <c r="A170" i="4"/>
  <c r="G169" i="4"/>
  <c r="C169" i="4"/>
  <c r="B169" i="4"/>
  <c r="A169" i="4"/>
  <c r="G168" i="4"/>
  <c r="C168" i="4"/>
  <c r="B168" i="4"/>
  <c r="A168" i="4"/>
  <c r="G167" i="4"/>
  <c r="C167" i="4"/>
  <c r="B167" i="4"/>
  <c r="A167" i="4"/>
  <c r="G166" i="4"/>
  <c r="C166" i="4"/>
  <c r="B166" i="4"/>
  <c r="A166" i="4"/>
  <c r="G165" i="4"/>
  <c r="C165" i="4"/>
  <c r="B165" i="4"/>
  <c r="A165" i="4"/>
  <c r="G164" i="4"/>
  <c r="C164" i="4"/>
  <c r="B164" i="4"/>
  <c r="A164" i="4"/>
  <c r="G163" i="4"/>
  <c r="C163" i="4"/>
  <c r="B163" i="4"/>
  <c r="A163" i="4"/>
  <c r="G162" i="4"/>
  <c r="C162" i="4"/>
  <c r="B162" i="4"/>
  <c r="A162" i="4"/>
  <c r="G161" i="4"/>
  <c r="C161" i="4"/>
  <c r="B161" i="4"/>
  <c r="A161" i="4"/>
  <c r="G160" i="4"/>
  <c r="C160" i="4"/>
  <c r="B160" i="4"/>
  <c r="A160" i="4"/>
  <c r="G159" i="4"/>
  <c r="C159" i="4"/>
  <c r="B159" i="4"/>
  <c r="A159" i="4"/>
  <c r="G158" i="4"/>
  <c r="C158" i="4"/>
  <c r="B158" i="4"/>
  <c r="A158" i="4"/>
  <c r="G157" i="4"/>
  <c r="C157" i="4"/>
  <c r="B157" i="4"/>
  <c r="A157" i="4"/>
  <c r="G156" i="4"/>
  <c r="C156" i="4"/>
  <c r="B156" i="4"/>
  <c r="A156" i="4"/>
  <c r="G155" i="4"/>
  <c r="C155" i="4"/>
  <c r="B155" i="4"/>
  <c r="A155" i="4"/>
  <c r="G154" i="4"/>
  <c r="C154" i="4"/>
  <c r="B154" i="4"/>
  <c r="A154" i="4"/>
  <c r="G153" i="4"/>
  <c r="C153" i="4"/>
  <c r="B153" i="4"/>
  <c r="A153" i="4"/>
  <c r="G152" i="4"/>
  <c r="C152" i="4"/>
  <c r="B152" i="4"/>
  <c r="A152" i="4"/>
  <c r="G151" i="4"/>
  <c r="C151" i="4"/>
  <c r="B151" i="4"/>
  <c r="A151" i="4"/>
  <c r="G150" i="4"/>
  <c r="C150" i="4"/>
  <c r="B150" i="4"/>
  <c r="A150" i="4"/>
  <c r="G149" i="4"/>
  <c r="C149" i="4"/>
  <c r="B149" i="4"/>
  <c r="A149" i="4"/>
  <c r="G148" i="4"/>
  <c r="C148" i="4"/>
  <c r="B148" i="4"/>
  <c r="A148" i="4"/>
  <c r="G147" i="4"/>
  <c r="C147" i="4"/>
  <c r="B147" i="4"/>
  <c r="A147" i="4"/>
  <c r="G146" i="4"/>
  <c r="C146" i="4"/>
  <c r="B146" i="4"/>
  <c r="A146" i="4"/>
  <c r="G145" i="4"/>
  <c r="C145" i="4"/>
  <c r="B145" i="4"/>
  <c r="A145" i="4"/>
  <c r="G144" i="4"/>
  <c r="C144" i="4"/>
  <c r="B144" i="4"/>
  <c r="A144" i="4"/>
  <c r="G143" i="4"/>
  <c r="C143" i="4"/>
  <c r="B143" i="4"/>
  <c r="A143" i="4"/>
  <c r="G142" i="4"/>
  <c r="C142" i="4"/>
  <c r="B142" i="4"/>
  <c r="A142" i="4"/>
  <c r="G141" i="4"/>
  <c r="C141" i="4"/>
  <c r="B141" i="4"/>
  <c r="A141" i="4"/>
  <c r="G140" i="4"/>
  <c r="C140" i="4"/>
  <c r="B140" i="4"/>
  <c r="A140" i="4"/>
  <c r="G139" i="4"/>
  <c r="C139" i="4"/>
  <c r="B139" i="4"/>
  <c r="A139" i="4"/>
  <c r="G138" i="4"/>
  <c r="C138" i="4"/>
  <c r="B138" i="4"/>
  <c r="A138" i="4"/>
  <c r="G137" i="4"/>
  <c r="C137" i="4"/>
  <c r="B137" i="4"/>
  <c r="A137" i="4"/>
  <c r="G136" i="4"/>
  <c r="C136" i="4"/>
  <c r="B136" i="4"/>
  <c r="A136" i="4"/>
  <c r="G135" i="4"/>
  <c r="C135" i="4"/>
  <c r="B135" i="4"/>
  <c r="A135" i="4"/>
  <c r="G134" i="4"/>
  <c r="C134" i="4"/>
  <c r="B134" i="4"/>
  <c r="A134" i="4"/>
  <c r="G133" i="4"/>
  <c r="C133" i="4"/>
  <c r="B133" i="4"/>
  <c r="A133" i="4"/>
  <c r="G132" i="4"/>
  <c r="C132" i="4"/>
  <c r="B132" i="4"/>
  <c r="A132" i="4"/>
  <c r="G131" i="4"/>
  <c r="C131" i="4"/>
  <c r="B131" i="4"/>
  <c r="A131" i="4"/>
  <c r="G130" i="4"/>
  <c r="C130" i="4"/>
  <c r="B130" i="4"/>
  <c r="A130" i="4"/>
  <c r="G129" i="4"/>
  <c r="C129" i="4"/>
  <c r="B129" i="4"/>
  <c r="A129" i="4"/>
  <c r="G128" i="4"/>
  <c r="C128" i="4"/>
  <c r="B128" i="4"/>
  <c r="A128" i="4"/>
  <c r="G127" i="4"/>
  <c r="C127" i="4"/>
  <c r="B127" i="4"/>
  <c r="A127" i="4"/>
  <c r="G126" i="4"/>
  <c r="C126" i="4"/>
  <c r="B126" i="4"/>
  <c r="A126" i="4"/>
  <c r="G125" i="4"/>
  <c r="C125" i="4"/>
  <c r="B125" i="4"/>
  <c r="A125" i="4"/>
  <c r="G124" i="4"/>
  <c r="C124" i="4"/>
  <c r="B124" i="4"/>
  <c r="A124" i="4"/>
  <c r="G123" i="4"/>
  <c r="C123" i="4"/>
  <c r="B123" i="4"/>
  <c r="A123" i="4"/>
  <c r="G122" i="4"/>
  <c r="C122" i="4"/>
  <c r="B122" i="4"/>
  <c r="A122" i="4"/>
  <c r="G121" i="4"/>
  <c r="C121" i="4"/>
  <c r="B121" i="4"/>
  <c r="A121" i="4"/>
  <c r="G120" i="4"/>
  <c r="C120" i="4"/>
  <c r="B120" i="4"/>
  <c r="A120" i="4"/>
  <c r="G119" i="4"/>
  <c r="C119" i="4"/>
  <c r="B119" i="4"/>
  <c r="A119" i="4"/>
  <c r="G118" i="4"/>
  <c r="C118" i="4"/>
  <c r="B118" i="4"/>
  <c r="A118" i="4"/>
  <c r="G117" i="4"/>
  <c r="C117" i="4"/>
  <c r="B117" i="4"/>
  <c r="A117" i="4"/>
  <c r="G116" i="4"/>
  <c r="C116" i="4"/>
  <c r="B116" i="4"/>
  <c r="A116" i="4"/>
  <c r="G115" i="4"/>
  <c r="C115" i="4"/>
  <c r="B115" i="4"/>
  <c r="A115" i="4"/>
  <c r="G114" i="4"/>
  <c r="C114" i="4"/>
  <c r="B114" i="4"/>
  <c r="A114" i="4"/>
  <c r="G113" i="4"/>
  <c r="C113" i="4"/>
  <c r="B113" i="4"/>
  <c r="A113" i="4"/>
  <c r="G112" i="4"/>
  <c r="C112" i="4"/>
  <c r="B112" i="4"/>
  <c r="A112" i="4"/>
  <c r="G111" i="4"/>
  <c r="C111" i="4"/>
  <c r="B111" i="4"/>
  <c r="A111" i="4"/>
  <c r="G110" i="4"/>
  <c r="C110" i="4"/>
  <c r="B110" i="4"/>
  <c r="A110" i="4"/>
  <c r="G109" i="4"/>
  <c r="C109" i="4"/>
  <c r="B109" i="4"/>
  <c r="A109" i="4"/>
  <c r="G108" i="4"/>
  <c r="C108" i="4"/>
  <c r="B108" i="4"/>
  <c r="A108" i="4"/>
  <c r="G107" i="4"/>
  <c r="C107" i="4"/>
  <c r="B107" i="4"/>
  <c r="A107" i="4"/>
  <c r="G106" i="4"/>
  <c r="C106" i="4"/>
  <c r="B106" i="4"/>
  <c r="A106" i="4"/>
  <c r="G105" i="4"/>
  <c r="C105" i="4"/>
  <c r="B105" i="4"/>
  <c r="A105" i="4"/>
  <c r="G104" i="4"/>
  <c r="C104" i="4"/>
  <c r="B104" i="4"/>
  <c r="A104" i="4"/>
  <c r="G103" i="4"/>
  <c r="C103" i="4"/>
  <c r="B103" i="4"/>
  <c r="A103" i="4"/>
  <c r="G102" i="4"/>
  <c r="C102" i="4"/>
  <c r="B102" i="4"/>
  <c r="A102" i="4"/>
  <c r="G101" i="4"/>
  <c r="C101" i="4"/>
  <c r="B101" i="4"/>
  <c r="A101" i="4"/>
  <c r="G100" i="4"/>
  <c r="C100" i="4"/>
  <c r="B100" i="4"/>
  <c r="A100" i="4"/>
  <c r="G99" i="4"/>
  <c r="C99" i="4"/>
  <c r="B99" i="4"/>
  <c r="A99" i="4"/>
  <c r="G98" i="4"/>
  <c r="C98" i="4"/>
  <c r="B98" i="4"/>
  <c r="A98" i="4"/>
  <c r="G97" i="4"/>
  <c r="C97" i="4"/>
  <c r="B97" i="4"/>
  <c r="A97" i="4"/>
  <c r="G96" i="4"/>
  <c r="C96" i="4"/>
  <c r="B96" i="4"/>
  <c r="A96" i="4"/>
  <c r="G95" i="4"/>
  <c r="C95" i="4"/>
  <c r="B95" i="4"/>
  <c r="A95" i="4"/>
  <c r="G94" i="4"/>
  <c r="C94" i="4"/>
  <c r="B94" i="4"/>
  <c r="A94" i="4"/>
  <c r="G93" i="4"/>
  <c r="C93" i="4"/>
  <c r="B93" i="4"/>
  <c r="A93" i="4"/>
  <c r="G92" i="4"/>
  <c r="C92" i="4"/>
  <c r="B92" i="4"/>
  <c r="A92" i="4"/>
  <c r="G91" i="4"/>
  <c r="C91" i="4"/>
  <c r="B91" i="4"/>
  <c r="A91" i="4"/>
  <c r="G90" i="4"/>
  <c r="C90" i="4"/>
  <c r="B90" i="4"/>
  <c r="A90" i="4"/>
  <c r="G89" i="4"/>
  <c r="C89" i="4"/>
  <c r="B89" i="4"/>
  <c r="A89" i="4"/>
  <c r="G88" i="4"/>
  <c r="C88" i="4"/>
  <c r="B88" i="4"/>
  <c r="A88" i="4"/>
  <c r="G87" i="4"/>
  <c r="C87" i="4"/>
  <c r="B87" i="4"/>
  <c r="A87" i="4"/>
  <c r="G86" i="4"/>
  <c r="C86" i="4"/>
  <c r="B86" i="4"/>
  <c r="A86" i="4"/>
  <c r="G85" i="4"/>
  <c r="C85" i="4"/>
  <c r="B85" i="4"/>
  <c r="A85" i="4"/>
  <c r="G84" i="4"/>
  <c r="C84" i="4"/>
  <c r="B84" i="4"/>
  <c r="A84" i="4"/>
  <c r="G83" i="4"/>
  <c r="C83" i="4"/>
  <c r="B83" i="4"/>
  <c r="A83" i="4"/>
  <c r="G82" i="4"/>
  <c r="C82" i="4"/>
  <c r="B82" i="4"/>
  <c r="A82" i="4"/>
  <c r="G81" i="4"/>
  <c r="C81" i="4"/>
  <c r="B81" i="4"/>
  <c r="A81" i="4"/>
  <c r="G80" i="4"/>
  <c r="C80" i="4"/>
  <c r="B80" i="4"/>
  <c r="A80" i="4"/>
  <c r="G79" i="4"/>
  <c r="C79" i="4"/>
  <c r="B79" i="4"/>
  <c r="A79" i="4"/>
  <c r="G78" i="4"/>
  <c r="C78" i="4"/>
  <c r="B78" i="4"/>
  <c r="A78" i="4"/>
  <c r="G77" i="4"/>
  <c r="C77" i="4"/>
  <c r="B77" i="4"/>
  <c r="A77" i="4"/>
  <c r="G76" i="4"/>
  <c r="C76" i="4"/>
  <c r="B76" i="4"/>
  <c r="A76" i="4"/>
  <c r="G75" i="4"/>
  <c r="C75" i="4"/>
  <c r="B75" i="4"/>
  <c r="A75" i="4"/>
  <c r="G74" i="4"/>
  <c r="C74" i="4"/>
  <c r="B74" i="4"/>
  <c r="A74" i="4"/>
  <c r="G73" i="4"/>
  <c r="C73" i="4"/>
  <c r="B73" i="4"/>
  <c r="A73" i="4"/>
  <c r="G72" i="4"/>
  <c r="C72" i="4"/>
  <c r="B72" i="4"/>
  <c r="A72" i="4"/>
  <c r="G71" i="4"/>
  <c r="C71" i="4"/>
  <c r="B71" i="4"/>
  <c r="A71" i="4"/>
  <c r="G70" i="4"/>
  <c r="C70" i="4"/>
  <c r="B70" i="4"/>
  <c r="A70" i="4"/>
  <c r="G69" i="4"/>
  <c r="C69" i="4"/>
  <c r="B69" i="4"/>
  <c r="A69" i="4"/>
  <c r="G68" i="4"/>
  <c r="C68" i="4"/>
  <c r="B68" i="4"/>
  <c r="A68" i="4"/>
  <c r="G67" i="4"/>
  <c r="C67" i="4"/>
  <c r="B67" i="4"/>
  <c r="A67" i="4"/>
  <c r="G66" i="4"/>
  <c r="C66" i="4"/>
  <c r="B66" i="4"/>
  <c r="A66" i="4"/>
  <c r="G65" i="4"/>
  <c r="C65" i="4"/>
  <c r="B65" i="4"/>
  <c r="A65" i="4"/>
  <c r="G64" i="4"/>
  <c r="C64" i="4"/>
  <c r="B64" i="4"/>
  <c r="A64" i="4"/>
  <c r="G63" i="4"/>
  <c r="C63" i="4"/>
  <c r="B63" i="4"/>
  <c r="A63" i="4"/>
  <c r="G62" i="4"/>
  <c r="C62" i="4"/>
  <c r="B62" i="4"/>
  <c r="A62" i="4"/>
  <c r="G61" i="4"/>
  <c r="C61" i="4"/>
  <c r="B61" i="4"/>
  <c r="A61" i="4"/>
  <c r="G60" i="4"/>
  <c r="C60" i="4"/>
  <c r="B60" i="4"/>
  <c r="A60" i="4"/>
  <c r="G59" i="4"/>
  <c r="E59" i="4"/>
  <c r="I59" i="4" s="1"/>
  <c r="D59" i="4"/>
  <c r="H59" i="4" s="1"/>
  <c r="C59" i="4"/>
  <c r="B59" i="4"/>
  <c r="A59" i="4"/>
  <c r="G58" i="4"/>
  <c r="E58" i="4"/>
  <c r="I58" i="4" s="1"/>
  <c r="D58" i="4"/>
  <c r="H58" i="4" s="1"/>
  <c r="C58" i="4"/>
  <c r="B58" i="4"/>
  <c r="A58" i="4"/>
  <c r="G57" i="4"/>
  <c r="E57" i="4"/>
  <c r="I57" i="4" s="1"/>
  <c r="D57" i="4"/>
  <c r="H57" i="4" s="1"/>
  <c r="C57" i="4"/>
  <c r="B57" i="4"/>
  <c r="A57" i="4"/>
  <c r="G56" i="4"/>
  <c r="E56" i="4"/>
  <c r="I56" i="4" s="1"/>
  <c r="D56" i="4"/>
  <c r="H56" i="4" s="1"/>
  <c r="C56" i="4"/>
  <c r="B56" i="4"/>
  <c r="A56" i="4"/>
  <c r="G55" i="4"/>
  <c r="E55" i="4"/>
  <c r="I55" i="4" s="1"/>
  <c r="D55" i="4"/>
  <c r="H55" i="4" s="1"/>
  <c r="C55" i="4"/>
  <c r="B55" i="4"/>
  <c r="A55" i="4"/>
  <c r="G54" i="4"/>
  <c r="E54" i="4"/>
  <c r="I54" i="4" s="1"/>
  <c r="D54" i="4"/>
  <c r="H54" i="4" s="1"/>
  <c r="C54" i="4"/>
  <c r="B54" i="4"/>
  <c r="A54" i="4"/>
  <c r="G53" i="4"/>
  <c r="E53" i="4"/>
  <c r="I53" i="4" s="1"/>
  <c r="D53" i="4"/>
  <c r="H53" i="4" s="1"/>
  <c r="C53" i="4"/>
  <c r="B53" i="4"/>
  <c r="A53" i="4"/>
  <c r="G52" i="4"/>
  <c r="E52" i="4"/>
  <c r="I52" i="4" s="1"/>
  <c r="D52" i="4"/>
  <c r="H52" i="4" s="1"/>
  <c r="C52" i="4"/>
  <c r="B52" i="4"/>
  <c r="A52" i="4"/>
  <c r="G51" i="4"/>
  <c r="E51" i="4"/>
  <c r="I51" i="4" s="1"/>
  <c r="D51" i="4"/>
  <c r="H51" i="4" s="1"/>
  <c r="C51" i="4"/>
  <c r="B51" i="4"/>
  <c r="A51" i="4"/>
  <c r="G50" i="4"/>
  <c r="E50" i="4"/>
  <c r="I50" i="4" s="1"/>
  <c r="D50" i="4"/>
  <c r="H50" i="4" s="1"/>
  <c r="C50" i="4"/>
  <c r="B50" i="4"/>
  <c r="A50" i="4"/>
  <c r="G49" i="4"/>
  <c r="E49" i="4"/>
  <c r="I49" i="4" s="1"/>
  <c r="D49" i="4"/>
  <c r="H49" i="4" s="1"/>
  <c r="C49" i="4"/>
  <c r="B49" i="4"/>
  <c r="A49" i="4"/>
  <c r="G48" i="4"/>
  <c r="E48" i="4"/>
  <c r="I48" i="4" s="1"/>
  <c r="D48" i="4"/>
  <c r="H48" i="4" s="1"/>
  <c r="C48" i="4"/>
  <c r="B48" i="4"/>
  <c r="A48" i="4"/>
  <c r="G47" i="4"/>
  <c r="E47" i="4"/>
  <c r="I47" i="4" s="1"/>
  <c r="D47" i="4"/>
  <c r="H47" i="4" s="1"/>
  <c r="C47" i="4"/>
  <c r="B47" i="4"/>
  <c r="A47" i="4"/>
  <c r="G46" i="4"/>
  <c r="E46" i="4"/>
  <c r="I46" i="4" s="1"/>
  <c r="D46" i="4"/>
  <c r="H46" i="4" s="1"/>
  <c r="C46" i="4"/>
  <c r="B46" i="4"/>
  <c r="A46" i="4"/>
  <c r="G45" i="4"/>
  <c r="C45" i="4"/>
  <c r="B45" i="4"/>
  <c r="A45" i="4"/>
  <c r="G44" i="4"/>
  <c r="C44" i="4"/>
  <c r="B44" i="4"/>
  <c r="A44" i="4"/>
  <c r="G43" i="4"/>
  <c r="C43" i="4"/>
  <c r="B43" i="4"/>
  <c r="A43" i="4"/>
  <c r="G42" i="4"/>
  <c r="C42" i="4"/>
  <c r="B42" i="4"/>
  <c r="A42" i="4"/>
  <c r="G41" i="4"/>
  <c r="C41" i="4"/>
  <c r="B41" i="4"/>
  <c r="A41" i="4"/>
  <c r="G40" i="4"/>
  <c r="C40" i="4"/>
  <c r="B40" i="4"/>
  <c r="A40" i="4"/>
  <c r="G39" i="4"/>
  <c r="C39" i="4"/>
  <c r="B39" i="4"/>
  <c r="A39" i="4"/>
  <c r="G38" i="4"/>
  <c r="C38" i="4"/>
  <c r="B38" i="4"/>
  <c r="A38" i="4"/>
  <c r="G37" i="4"/>
  <c r="C37" i="4"/>
  <c r="B37" i="4"/>
  <c r="A37" i="4"/>
  <c r="G36" i="4"/>
  <c r="C36" i="4"/>
  <c r="B36" i="4"/>
  <c r="A36" i="4"/>
  <c r="G35" i="4"/>
  <c r="C35" i="4"/>
  <c r="B35" i="4"/>
  <c r="A35" i="4"/>
  <c r="G34" i="4"/>
  <c r="C34" i="4"/>
  <c r="B34" i="4"/>
  <c r="A34" i="4"/>
  <c r="G33" i="4"/>
  <c r="C33" i="4"/>
  <c r="B33" i="4"/>
  <c r="A33" i="4"/>
  <c r="G32" i="4"/>
  <c r="C32" i="4"/>
  <c r="B32" i="4"/>
  <c r="A32" i="4"/>
  <c r="G31" i="4"/>
  <c r="C31" i="4"/>
  <c r="B31" i="4"/>
  <c r="A31" i="4"/>
  <c r="G30" i="4"/>
  <c r="C30" i="4"/>
  <c r="B30" i="4"/>
  <c r="A30" i="4"/>
  <c r="G29" i="4"/>
  <c r="C29" i="4"/>
  <c r="B29" i="4"/>
  <c r="A29" i="4"/>
  <c r="G28" i="4"/>
  <c r="C28" i="4"/>
  <c r="B28" i="4"/>
  <c r="A28" i="4"/>
  <c r="G27" i="4"/>
  <c r="C27" i="4"/>
  <c r="B27" i="4"/>
  <c r="A27" i="4"/>
  <c r="G26" i="4"/>
  <c r="C26" i="4"/>
  <c r="B26" i="4"/>
  <c r="A26" i="4"/>
  <c r="G25" i="4"/>
  <c r="C25" i="4"/>
  <c r="B25" i="4"/>
  <c r="A25" i="4"/>
  <c r="G24" i="4"/>
  <c r="C24" i="4"/>
  <c r="B24" i="4"/>
  <c r="A24" i="4"/>
  <c r="G23" i="4"/>
  <c r="C23" i="4"/>
  <c r="B23" i="4"/>
  <c r="A23" i="4"/>
  <c r="G22" i="4"/>
  <c r="C22" i="4"/>
  <c r="B22" i="4"/>
  <c r="A22" i="4"/>
  <c r="G21" i="4"/>
  <c r="C21" i="4"/>
  <c r="B21" i="4"/>
  <c r="A21" i="4"/>
  <c r="G20" i="4"/>
  <c r="C20" i="4"/>
  <c r="B20" i="4"/>
  <c r="A20" i="4"/>
  <c r="G19" i="4"/>
  <c r="C19" i="4"/>
  <c r="B19" i="4"/>
  <c r="A19" i="4"/>
  <c r="G18" i="4"/>
  <c r="C18" i="4"/>
  <c r="B18" i="4"/>
  <c r="A18" i="4"/>
  <c r="G17" i="4"/>
  <c r="C17" i="4"/>
  <c r="B17" i="4"/>
  <c r="A17" i="4"/>
  <c r="G16" i="4"/>
  <c r="C16" i="4"/>
  <c r="B16" i="4"/>
  <c r="A16" i="4"/>
  <c r="G15" i="4"/>
  <c r="C15" i="4"/>
  <c r="B15" i="4"/>
  <c r="A15" i="4"/>
  <c r="G14" i="4"/>
  <c r="C14" i="4"/>
  <c r="B14" i="4"/>
  <c r="A14" i="4"/>
  <c r="G13" i="4"/>
  <c r="C13" i="4"/>
  <c r="B13" i="4"/>
  <c r="A13" i="4"/>
  <c r="G12" i="4"/>
  <c r="C12" i="4"/>
  <c r="B12" i="4"/>
  <c r="A12" i="4"/>
  <c r="Q11" i="4"/>
  <c r="P11" i="4"/>
  <c r="G11" i="4"/>
  <c r="C11" i="4"/>
  <c r="B11" i="4"/>
  <c r="A11" i="4"/>
  <c r="N10" i="4"/>
  <c r="G10" i="4"/>
  <c r="C10" i="4"/>
  <c r="B10" i="4"/>
  <c r="A10" i="4"/>
  <c r="B243" i="4" s="1"/>
  <c r="Q9" i="4"/>
  <c r="P9" i="4"/>
  <c r="O9" i="4"/>
  <c r="N9" i="4"/>
  <c r="Q8" i="4"/>
  <c r="P8" i="4"/>
  <c r="O8" i="4"/>
  <c r="N8" i="4"/>
  <c r="Q7" i="4"/>
  <c r="P7" i="4"/>
  <c r="O7" i="4"/>
  <c r="N7" i="4"/>
  <c r="Q6" i="4"/>
  <c r="P6" i="4"/>
  <c r="O6" i="4"/>
  <c r="N6" i="4"/>
  <c r="M235" i="3"/>
  <c r="I235" i="3"/>
  <c r="E242" i="4" s="1"/>
  <c r="I242" i="4" s="1"/>
  <c r="H235" i="3"/>
  <c r="G235" i="3"/>
  <c r="F235" i="3"/>
  <c r="M234" i="3"/>
  <c r="I234" i="3"/>
  <c r="E241" i="4" s="1"/>
  <c r="I241" i="4" s="1"/>
  <c r="H234" i="3"/>
  <c r="G234" i="3"/>
  <c r="F234" i="3"/>
  <c r="M233" i="3"/>
  <c r="I233" i="3"/>
  <c r="E240" i="4" s="1"/>
  <c r="I240" i="4" s="1"/>
  <c r="H233" i="3"/>
  <c r="G233" i="3"/>
  <c r="F233" i="3"/>
  <c r="M232" i="3"/>
  <c r="I232" i="3"/>
  <c r="E239" i="4" s="1"/>
  <c r="I239" i="4" s="1"/>
  <c r="H232" i="3"/>
  <c r="G232" i="3"/>
  <c r="F232" i="3"/>
  <c r="M231" i="3"/>
  <c r="I231" i="3"/>
  <c r="E238" i="4" s="1"/>
  <c r="I238" i="4" s="1"/>
  <c r="H231" i="3"/>
  <c r="G231" i="3"/>
  <c r="F231" i="3"/>
  <c r="M230" i="3"/>
  <c r="I230" i="3"/>
  <c r="E237" i="4" s="1"/>
  <c r="I237" i="4" s="1"/>
  <c r="H230" i="3"/>
  <c r="G230" i="3"/>
  <c r="F230" i="3"/>
  <c r="M229" i="3"/>
  <c r="I229" i="3"/>
  <c r="E236" i="4" s="1"/>
  <c r="I236" i="4" s="1"/>
  <c r="H229" i="3"/>
  <c r="G229" i="3"/>
  <c r="F229" i="3"/>
  <c r="M228" i="3"/>
  <c r="I228" i="3"/>
  <c r="E235" i="4" s="1"/>
  <c r="I235" i="4" s="1"/>
  <c r="H228" i="3"/>
  <c r="G228" i="3"/>
  <c r="F228" i="3"/>
  <c r="M227" i="3"/>
  <c r="I227" i="3"/>
  <c r="E234" i="4" s="1"/>
  <c r="I234" i="4" s="1"/>
  <c r="H227" i="3"/>
  <c r="G227" i="3"/>
  <c r="F227" i="3"/>
  <c r="M226" i="3"/>
  <c r="I226" i="3"/>
  <c r="E233" i="4" s="1"/>
  <c r="I233" i="4" s="1"/>
  <c r="H226" i="3"/>
  <c r="G226" i="3"/>
  <c r="F226" i="3"/>
  <c r="M225" i="3"/>
  <c r="I225" i="3"/>
  <c r="E232" i="4" s="1"/>
  <c r="I232" i="4" s="1"/>
  <c r="H225" i="3"/>
  <c r="G225" i="3"/>
  <c r="F225" i="3"/>
  <c r="M224" i="3"/>
  <c r="I224" i="3"/>
  <c r="E231" i="4" s="1"/>
  <c r="I231" i="4" s="1"/>
  <c r="H224" i="3"/>
  <c r="G224" i="3"/>
  <c r="F224" i="3"/>
  <c r="M223" i="3"/>
  <c r="I223" i="3"/>
  <c r="E230" i="4" s="1"/>
  <c r="I230" i="4" s="1"/>
  <c r="H223" i="3"/>
  <c r="G223" i="3"/>
  <c r="F223" i="3"/>
  <c r="M222" i="3"/>
  <c r="I222" i="3"/>
  <c r="E229" i="4" s="1"/>
  <c r="I229" i="4" s="1"/>
  <c r="H222" i="3"/>
  <c r="G222" i="3"/>
  <c r="F222" i="3"/>
  <c r="M221" i="3"/>
  <c r="I221" i="3"/>
  <c r="E228" i="4" s="1"/>
  <c r="I228" i="4" s="1"/>
  <c r="H221" i="3"/>
  <c r="G221" i="3"/>
  <c r="F221" i="3"/>
  <c r="M220" i="3"/>
  <c r="I220" i="3"/>
  <c r="E227" i="4" s="1"/>
  <c r="I227" i="4" s="1"/>
  <c r="H220" i="3"/>
  <c r="G220" i="3"/>
  <c r="F220" i="3"/>
  <c r="M219" i="3"/>
  <c r="I219" i="3"/>
  <c r="E226" i="4" s="1"/>
  <c r="I226" i="4" s="1"/>
  <c r="H219" i="3"/>
  <c r="G219" i="3"/>
  <c r="F219" i="3"/>
  <c r="M218" i="3"/>
  <c r="I218" i="3"/>
  <c r="E225" i="4" s="1"/>
  <c r="I225" i="4" s="1"/>
  <c r="H218" i="3"/>
  <c r="G218" i="3"/>
  <c r="F218" i="3"/>
  <c r="M217" i="3"/>
  <c r="I217" i="3"/>
  <c r="E224" i="4" s="1"/>
  <c r="I224" i="4" s="1"/>
  <c r="H217" i="3"/>
  <c r="G217" i="3"/>
  <c r="F217" i="3"/>
  <c r="M216" i="3"/>
  <c r="I216" i="3"/>
  <c r="E223" i="4" s="1"/>
  <c r="I223" i="4" s="1"/>
  <c r="H216" i="3"/>
  <c r="G216" i="3"/>
  <c r="F216" i="3"/>
  <c r="M215" i="3"/>
  <c r="I215" i="3"/>
  <c r="E222" i="4" s="1"/>
  <c r="I222" i="4" s="1"/>
  <c r="H215" i="3"/>
  <c r="G215" i="3"/>
  <c r="F215" i="3"/>
  <c r="M214" i="3"/>
  <c r="I214" i="3"/>
  <c r="E221" i="4" s="1"/>
  <c r="I221" i="4" s="1"/>
  <c r="H214" i="3"/>
  <c r="G214" i="3"/>
  <c r="F214" i="3"/>
  <c r="M213" i="3"/>
  <c r="I213" i="3"/>
  <c r="E220" i="4" s="1"/>
  <c r="I220" i="4" s="1"/>
  <c r="H213" i="3"/>
  <c r="G213" i="3"/>
  <c r="F213" i="3"/>
  <c r="M212" i="3"/>
  <c r="I212" i="3"/>
  <c r="E219" i="4" s="1"/>
  <c r="I219" i="4" s="1"/>
  <c r="H212" i="3"/>
  <c r="G212" i="3"/>
  <c r="F212" i="3"/>
  <c r="M211" i="3"/>
  <c r="I211" i="3"/>
  <c r="E218" i="4" s="1"/>
  <c r="I218" i="4" s="1"/>
  <c r="H211" i="3"/>
  <c r="G211" i="3"/>
  <c r="F211" i="3"/>
  <c r="M210" i="3"/>
  <c r="I210" i="3"/>
  <c r="E217" i="4" s="1"/>
  <c r="I217" i="4" s="1"/>
  <c r="H210" i="3"/>
  <c r="G210" i="3"/>
  <c r="F210" i="3"/>
  <c r="M209" i="3"/>
  <c r="I209" i="3"/>
  <c r="E216" i="4" s="1"/>
  <c r="I216" i="4" s="1"/>
  <c r="H209" i="3"/>
  <c r="G209" i="3"/>
  <c r="F209" i="3"/>
  <c r="M208" i="3"/>
  <c r="I208" i="3"/>
  <c r="E215" i="4" s="1"/>
  <c r="I215" i="4" s="1"/>
  <c r="H208" i="3"/>
  <c r="G208" i="3"/>
  <c r="F208" i="3"/>
  <c r="M207" i="3"/>
  <c r="I207" i="3"/>
  <c r="E214" i="4" s="1"/>
  <c r="I214" i="4" s="1"/>
  <c r="H207" i="3"/>
  <c r="G207" i="3"/>
  <c r="F207" i="3"/>
  <c r="M206" i="3"/>
  <c r="I206" i="3"/>
  <c r="E213" i="4" s="1"/>
  <c r="I213" i="4" s="1"/>
  <c r="H206" i="3"/>
  <c r="G206" i="3"/>
  <c r="F206" i="3"/>
  <c r="M205" i="3"/>
  <c r="I205" i="3"/>
  <c r="E212" i="4" s="1"/>
  <c r="I212" i="4" s="1"/>
  <c r="H205" i="3"/>
  <c r="G205" i="3"/>
  <c r="F205" i="3"/>
  <c r="M204" i="3"/>
  <c r="I204" i="3"/>
  <c r="E211" i="4" s="1"/>
  <c r="I211" i="4" s="1"/>
  <c r="H204" i="3"/>
  <c r="G204" i="3"/>
  <c r="F204" i="3"/>
  <c r="M203" i="3"/>
  <c r="I203" i="3"/>
  <c r="E210" i="4" s="1"/>
  <c r="I210" i="4" s="1"/>
  <c r="H203" i="3"/>
  <c r="G203" i="3"/>
  <c r="F203" i="3"/>
  <c r="M202" i="3"/>
  <c r="I202" i="3"/>
  <c r="E209" i="4" s="1"/>
  <c r="I209" i="4" s="1"/>
  <c r="H202" i="3"/>
  <c r="G202" i="3"/>
  <c r="F202" i="3"/>
  <c r="M201" i="3"/>
  <c r="I201" i="3"/>
  <c r="E208" i="4" s="1"/>
  <c r="I208" i="4" s="1"/>
  <c r="H201" i="3"/>
  <c r="G201" i="3"/>
  <c r="F201" i="3"/>
  <c r="M200" i="3"/>
  <c r="I200" i="3"/>
  <c r="E207" i="4" s="1"/>
  <c r="I207" i="4" s="1"/>
  <c r="H200" i="3"/>
  <c r="G200" i="3"/>
  <c r="F200" i="3"/>
  <c r="M199" i="3"/>
  <c r="I199" i="3"/>
  <c r="E206" i="4" s="1"/>
  <c r="I206" i="4" s="1"/>
  <c r="H199" i="3"/>
  <c r="G199" i="3"/>
  <c r="F199" i="3"/>
  <c r="M198" i="3"/>
  <c r="I198" i="3"/>
  <c r="E205" i="4" s="1"/>
  <c r="I205" i="4" s="1"/>
  <c r="H198" i="3"/>
  <c r="G198" i="3"/>
  <c r="F198" i="3"/>
  <c r="M197" i="3"/>
  <c r="I197" i="3"/>
  <c r="E204" i="4" s="1"/>
  <c r="I204" i="4" s="1"/>
  <c r="H197" i="3"/>
  <c r="G197" i="3"/>
  <c r="F197" i="3"/>
  <c r="M196" i="3"/>
  <c r="I196" i="3"/>
  <c r="E203" i="4" s="1"/>
  <c r="I203" i="4" s="1"/>
  <c r="H196" i="3"/>
  <c r="G196" i="3"/>
  <c r="F196" i="3"/>
  <c r="M195" i="3"/>
  <c r="I195" i="3"/>
  <c r="E202" i="4" s="1"/>
  <c r="I202" i="4" s="1"/>
  <c r="H195" i="3"/>
  <c r="G195" i="3"/>
  <c r="F195" i="3"/>
  <c r="M194" i="3"/>
  <c r="I194" i="3"/>
  <c r="E201" i="4" s="1"/>
  <c r="I201" i="4" s="1"/>
  <c r="H194" i="3"/>
  <c r="G194" i="3"/>
  <c r="F194" i="3"/>
  <c r="M193" i="3"/>
  <c r="I193" i="3"/>
  <c r="E200" i="4" s="1"/>
  <c r="I200" i="4" s="1"/>
  <c r="H193" i="3"/>
  <c r="G193" i="3"/>
  <c r="F193" i="3"/>
  <c r="M192" i="3"/>
  <c r="I192" i="3"/>
  <c r="E199" i="4" s="1"/>
  <c r="I199" i="4" s="1"/>
  <c r="H192" i="3"/>
  <c r="G192" i="3"/>
  <c r="F192" i="3"/>
  <c r="M191" i="3"/>
  <c r="I191" i="3"/>
  <c r="E198" i="4" s="1"/>
  <c r="I198" i="4" s="1"/>
  <c r="H191" i="3"/>
  <c r="G191" i="3"/>
  <c r="F191" i="3"/>
  <c r="M190" i="3"/>
  <c r="I190" i="3"/>
  <c r="E197" i="4" s="1"/>
  <c r="I197" i="4" s="1"/>
  <c r="H190" i="3"/>
  <c r="G190" i="3"/>
  <c r="F190" i="3"/>
  <c r="M189" i="3"/>
  <c r="I189" i="3"/>
  <c r="E196" i="4" s="1"/>
  <c r="I196" i="4" s="1"/>
  <c r="H189" i="3"/>
  <c r="G189" i="3"/>
  <c r="F189" i="3"/>
  <c r="M188" i="3"/>
  <c r="I188" i="3"/>
  <c r="E195" i="4" s="1"/>
  <c r="I195" i="4" s="1"/>
  <c r="H188" i="3"/>
  <c r="G188" i="3"/>
  <c r="F188" i="3"/>
  <c r="M187" i="3"/>
  <c r="I187" i="3"/>
  <c r="E194" i="4" s="1"/>
  <c r="I194" i="4" s="1"/>
  <c r="H187" i="3"/>
  <c r="G187" i="3"/>
  <c r="F187" i="3"/>
  <c r="M186" i="3"/>
  <c r="I186" i="3"/>
  <c r="E193" i="4" s="1"/>
  <c r="I193" i="4" s="1"/>
  <c r="H186" i="3"/>
  <c r="G186" i="3"/>
  <c r="F186" i="3"/>
  <c r="M185" i="3"/>
  <c r="I185" i="3"/>
  <c r="E192" i="4" s="1"/>
  <c r="I192" i="4" s="1"/>
  <c r="H185" i="3"/>
  <c r="G185" i="3"/>
  <c r="F185" i="3"/>
  <c r="M184" i="3"/>
  <c r="I184" i="3"/>
  <c r="E191" i="4" s="1"/>
  <c r="I191" i="4" s="1"/>
  <c r="H184" i="3"/>
  <c r="G184" i="3"/>
  <c r="F184" i="3"/>
  <c r="M183" i="3"/>
  <c r="I183" i="3"/>
  <c r="E190" i="4" s="1"/>
  <c r="I190" i="4" s="1"/>
  <c r="H183" i="3"/>
  <c r="G183" i="3"/>
  <c r="F183" i="3"/>
  <c r="M182" i="3"/>
  <c r="I182" i="3"/>
  <c r="E189" i="4" s="1"/>
  <c r="I189" i="4" s="1"/>
  <c r="H182" i="3"/>
  <c r="G182" i="3"/>
  <c r="F182" i="3"/>
  <c r="M181" i="3"/>
  <c r="I181" i="3"/>
  <c r="E188" i="4" s="1"/>
  <c r="I188" i="4" s="1"/>
  <c r="H181" i="3"/>
  <c r="G181" i="3"/>
  <c r="F181" i="3"/>
  <c r="M180" i="3"/>
  <c r="I180" i="3"/>
  <c r="E187" i="4" s="1"/>
  <c r="I187" i="4" s="1"/>
  <c r="H180" i="3"/>
  <c r="G180" i="3"/>
  <c r="F180" i="3"/>
  <c r="M179" i="3"/>
  <c r="I179" i="3"/>
  <c r="E186" i="4" s="1"/>
  <c r="I186" i="4" s="1"/>
  <c r="H179" i="3"/>
  <c r="G179" i="3"/>
  <c r="F179" i="3"/>
  <c r="M178" i="3"/>
  <c r="I178" i="3"/>
  <c r="E185" i="4" s="1"/>
  <c r="I185" i="4" s="1"/>
  <c r="H178" i="3"/>
  <c r="G178" i="3"/>
  <c r="F178" i="3"/>
  <c r="M177" i="3"/>
  <c r="I177" i="3"/>
  <c r="E184" i="4" s="1"/>
  <c r="I184" i="4" s="1"/>
  <c r="H177" i="3"/>
  <c r="G177" i="3"/>
  <c r="F177" i="3"/>
  <c r="M176" i="3"/>
  <c r="I176" i="3"/>
  <c r="E183" i="4" s="1"/>
  <c r="I183" i="4" s="1"/>
  <c r="H176" i="3"/>
  <c r="G176" i="3"/>
  <c r="F176" i="3"/>
  <c r="M175" i="3"/>
  <c r="I175" i="3"/>
  <c r="E182" i="4" s="1"/>
  <c r="I182" i="4" s="1"/>
  <c r="H175" i="3"/>
  <c r="G175" i="3"/>
  <c r="F175" i="3"/>
  <c r="M174" i="3"/>
  <c r="I174" i="3"/>
  <c r="E181" i="4" s="1"/>
  <c r="I181" i="4" s="1"/>
  <c r="H174" i="3"/>
  <c r="G174" i="3"/>
  <c r="F174" i="3"/>
  <c r="M173" i="3"/>
  <c r="I173" i="3"/>
  <c r="E180" i="4" s="1"/>
  <c r="I180" i="4" s="1"/>
  <c r="H173" i="3"/>
  <c r="G173" i="3"/>
  <c r="F173" i="3"/>
  <c r="M172" i="3"/>
  <c r="I172" i="3"/>
  <c r="E179" i="4" s="1"/>
  <c r="I179" i="4" s="1"/>
  <c r="H172" i="3"/>
  <c r="G172" i="3"/>
  <c r="F172" i="3"/>
  <c r="M171" i="3"/>
  <c r="I171" i="3"/>
  <c r="E178" i="4" s="1"/>
  <c r="I178" i="4" s="1"/>
  <c r="H171" i="3"/>
  <c r="G171" i="3"/>
  <c r="F171" i="3"/>
  <c r="M170" i="3"/>
  <c r="I170" i="3"/>
  <c r="E177" i="4" s="1"/>
  <c r="I177" i="4" s="1"/>
  <c r="H170" i="3"/>
  <c r="G170" i="3"/>
  <c r="F170" i="3"/>
  <c r="M169" i="3"/>
  <c r="N169" i="3" s="1"/>
  <c r="J169" i="3"/>
  <c r="I169" i="3"/>
  <c r="E176" i="4" s="1"/>
  <c r="I176" i="4" s="1"/>
  <c r="H169" i="3"/>
  <c r="G169" i="3"/>
  <c r="F169" i="3"/>
  <c r="M168" i="3"/>
  <c r="N168" i="3" s="1"/>
  <c r="J168" i="3"/>
  <c r="I168" i="3"/>
  <c r="E175" i="4" s="1"/>
  <c r="I175" i="4" s="1"/>
  <c r="H168" i="3"/>
  <c r="G168" i="3"/>
  <c r="F168" i="3"/>
  <c r="M167" i="3"/>
  <c r="N167" i="3" s="1"/>
  <c r="J167" i="3"/>
  <c r="I167" i="3"/>
  <c r="E174" i="4" s="1"/>
  <c r="I174" i="4" s="1"/>
  <c r="H167" i="3"/>
  <c r="G167" i="3"/>
  <c r="F167" i="3"/>
  <c r="M166" i="3"/>
  <c r="N166" i="3" s="1"/>
  <c r="J166" i="3"/>
  <c r="I166" i="3"/>
  <c r="E173" i="4" s="1"/>
  <c r="I173" i="4" s="1"/>
  <c r="H166" i="3"/>
  <c r="G166" i="3"/>
  <c r="F166" i="3"/>
  <c r="M165" i="3"/>
  <c r="N165" i="3" s="1"/>
  <c r="J165" i="3"/>
  <c r="I165" i="3"/>
  <c r="E172" i="4" s="1"/>
  <c r="I172" i="4" s="1"/>
  <c r="H165" i="3"/>
  <c r="G165" i="3"/>
  <c r="F165" i="3"/>
  <c r="M164" i="3"/>
  <c r="N164" i="3" s="1"/>
  <c r="J164" i="3"/>
  <c r="I164" i="3"/>
  <c r="E171" i="4" s="1"/>
  <c r="I171" i="4" s="1"/>
  <c r="H164" i="3"/>
  <c r="G164" i="3"/>
  <c r="F164" i="3"/>
  <c r="M163" i="3"/>
  <c r="N163" i="3" s="1"/>
  <c r="J163" i="3"/>
  <c r="I163" i="3"/>
  <c r="E170" i="4" s="1"/>
  <c r="I170" i="4" s="1"/>
  <c r="H163" i="3"/>
  <c r="G163" i="3"/>
  <c r="F163" i="3"/>
  <c r="M162" i="3"/>
  <c r="N162" i="3" s="1"/>
  <c r="J162" i="3"/>
  <c r="I162" i="3"/>
  <c r="E169" i="4" s="1"/>
  <c r="I169" i="4" s="1"/>
  <c r="H162" i="3"/>
  <c r="G162" i="3"/>
  <c r="F162" i="3"/>
  <c r="M161" i="3"/>
  <c r="N161" i="3" s="1"/>
  <c r="J161" i="3"/>
  <c r="I161" i="3"/>
  <c r="E168" i="4" s="1"/>
  <c r="I168" i="4" s="1"/>
  <c r="H161" i="3"/>
  <c r="G161" i="3"/>
  <c r="F161" i="3"/>
  <c r="M160" i="3"/>
  <c r="N160" i="3" s="1"/>
  <c r="J160" i="3"/>
  <c r="I160" i="3"/>
  <c r="E167" i="4" s="1"/>
  <c r="I167" i="4" s="1"/>
  <c r="H160" i="3"/>
  <c r="G160" i="3"/>
  <c r="F160" i="3"/>
  <c r="M159" i="3"/>
  <c r="N159" i="3" s="1"/>
  <c r="J159" i="3"/>
  <c r="I159" i="3"/>
  <c r="E166" i="4" s="1"/>
  <c r="I166" i="4" s="1"/>
  <c r="H159" i="3"/>
  <c r="G159" i="3"/>
  <c r="F159" i="3"/>
  <c r="M158" i="3"/>
  <c r="N158" i="3" s="1"/>
  <c r="J158" i="3"/>
  <c r="I158" i="3"/>
  <c r="E165" i="4" s="1"/>
  <c r="I165" i="4" s="1"/>
  <c r="H158" i="3"/>
  <c r="G158" i="3"/>
  <c r="F158" i="3"/>
  <c r="M157" i="3"/>
  <c r="N157" i="3" s="1"/>
  <c r="J157" i="3"/>
  <c r="I157" i="3"/>
  <c r="E164" i="4" s="1"/>
  <c r="I164" i="4" s="1"/>
  <c r="H157" i="3"/>
  <c r="G157" i="3"/>
  <c r="F157" i="3"/>
  <c r="M156" i="3"/>
  <c r="N156" i="3" s="1"/>
  <c r="J156" i="3"/>
  <c r="I156" i="3"/>
  <c r="E163" i="4" s="1"/>
  <c r="I163" i="4" s="1"/>
  <c r="H156" i="3"/>
  <c r="G156" i="3"/>
  <c r="F156" i="3"/>
  <c r="M155" i="3"/>
  <c r="N155" i="3" s="1"/>
  <c r="J155" i="3"/>
  <c r="I155" i="3"/>
  <c r="E162" i="4" s="1"/>
  <c r="I162" i="4" s="1"/>
  <c r="H155" i="3"/>
  <c r="G155" i="3"/>
  <c r="F155" i="3"/>
  <c r="M154" i="3"/>
  <c r="N154" i="3" s="1"/>
  <c r="J154" i="3"/>
  <c r="I154" i="3"/>
  <c r="E161" i="4" s="1"/>
  <c r="I161" i="4" s="1"/>
  <c r="H154" i="3"/>
  <c r="G154" i="3"/>
  <c r="F154" i="3"/>
  <c r="M153" i="3"/>
  <c r="N153" i="3" s="1"/>
  <c r="J153" i="3"/>
  <c r="I153" i="3"/>
  <c r="E160" i="4" s="1"/>
  <c r="I160" i="4" s="1"/>
  <c r="H153" i="3"/>
  <c r="G153" i="3"/>
  <c r="F153" i="3"/>
  <c r="M152" i="3"/>
  <c r="N152" i="3" s="1"/>
  <c r="J152" i="3"/>
  <c r="I152" i="3"/>
  <c r="E159" i="4" s="1"/>
  <c r="I159" i="4" s="1"/>
  <c r="H152" i="3"/>
  <c r="G152" i="3"/>
  <c r="F152" i="3"/>
  <c r="M151" i="3"/>
  <c r="N151" i="3" s="1"/>
  <c r="J151" i="3"/>
  <c r="I151" i="3"/>
  <c r="E158" i="4" s="1"/>
  <c r="I158" i="4" s="1"/>
  <c r="H151" i="3"/>
  <c r="G151" i="3"/>
  <c r="F151" i="3"/>
  <c r="M150" i="3"/>
  <c r="N150" i="3" s="1"/>
  <c r="J150" i="3"/>
  <c r="I150" i="3"/>
  <c r="E157" i="4" s="1"/>
  <c r="I157" i="4" s="1"/>
  <c r="H150" i="3"/>
  <c r="G150" i="3"/>
  <c r="F150" i="3"/>
  <c r="M149" i="3"/>
  <c r="N149" i="3" s="1"/>
  <c r="J149" i="3"/>
  <c r="I149" i="3"/>
  <c r="E156" i="4" s="1"/>
  <c r="I156" i="4" s="1"/>
  <c r="H149" i="3"/>
  <c r="G149" i="3"/>
  <c r="F149" i="3"/>
  <c r="M148" i="3"/>
  <c r="N148" i="3" s="1"/>
  <c r="J148" i="3"/>
  <c r="I148" i="3"/>
  <c r="E155" i="4" s="1"/>
  <c r="I155" i="4" s="1"/>
  <c r="H148" i="3"/>
  <c r="G148" i="3"/>
  <c r="F148" i="3"/>
  <c r="M147" i="3"/>
  <c r="N147" i="3" s="1"/>
  <c r="J147" i="3"/>
  <c r="I147" i="3"/>
  <c r="E154" i="4" s="1"/>
  <c r="I154" i="4" s="1"/>
  <c r="H147" i="3"/>
  <c r="G147" i="3"/>
  <c r="F147" i="3"/>
  <c r="M146" i="3"/>
  <c r="N146" i="3" s="1"/>
  <c r="J146" i="3"/>
  <c r="I146" i="3"/>
  <c r="E153" i="4" s="1"/>
  <c r="I153" i="4" s="1"/>
  <c r="H146" i="3"/>
  <c r="G146" i="3"/>
  <c r="F146" i="3"/>
  <c r="M145" i="3"/>
  <c r="N145" i="3" s="1"/>
  <c r="J145" i="3"/>
  <c r="I145" i="3"/>
  <c r="E152" i="4" s="1"/>
  <c r="I152" i="4" s="1"/>
  <c r="H145" i="3"/>
  <c r="G145" i="3"/>
  <c r="F145" i="3"/>
  <c r="M144" i="3"/>
  <c r="N144" i="3" s="1"/>
  <c r="J144" i="3"/>
  <c r="I144" i="3"/>
  <c r="E151" i="4" s="1"/>
  <c r="I151" i="4" s="1"/>
  <c r="H144" i="3"/>
  <c r="G144" i="3"/>
  <c r="F144" i="3"/>
  <c r="M143" i="3"/>
  <c r="N143" i="3" s="1"/>
  <c r="J143" i="3"/>
  <c r="I143" i="3"/>
  <c r="E150" i="4" s="1"/>
  <c r="I150" i="4" s="1"/>
  <c r="H143" i="3"/>
  <c r="G143" i="3"/>
  <c r="F143" i="3"/>
  <c r="M142" i="3"/>
  <c r="N142" i="3" s="1"/>
  <c r="J142" i="3"/>
  <c r="I142" i="3"/>
  <c r="E149" i="4" s="1"/>
  <c r="I149" i="4" s="1"/>
  <c r="H142" i="3"/>
  <c r="G142" i="3"/>
  <c r="F142" i="3"/>
  <c r="M141" i="3"/>
  <c r="N141" i="3" s="1"/>
  <c r="J141" i="3"/>
  <c r="I141" i="3"/>
  <c r="E148" i="4" s="1"/>
  <c r="I148" i="4" s="1"/>
  <c r="H141" i="3"/>
  <c r="G141" i="3"/>
  <c r="F141" i="3"/>
  <c r="M140" i="3"/>
  <c r="N140" i="3" s="1"/>
  <c r="J140" i="3"/>
  <c r="I140" i="3"/>
  <c r="E147" i="4" s="1"/>
  <c r="I147" i="4" s="1"/>
  <c r="H140" i="3"/>
  <c r="G140" i="3"/>
  <c r="F140" i="3"/>
  <c r="M139" i="3"/>
  <c r="N139" i="3" s="1"/>
  <c r="J139" i="3"/>
  <c r="I139" i="3"/>
  <c r="E146" i="4" s="1"/>
  <c r="I146" i="4" s="1"/>
  <c r="H139" i="3"/>
  <c r="G139" i="3"/>
  <c r="F139" i="3"/>
  <c r="M138" i="3"/>
  <c r="N138" i="3" s="1"/>
  <c r="J138" i="3"/>
  <c r="I138" i="3"/>
  <c r="E145" i="4" s="1"/>
  <c r="I145" i="4" s="1"/>
  <c r="H138" i="3"/>
  <c r="G138" i="3"/>
  <c r="F138" i="3"/>
  <c r="M137" i="3"/>
  <c r="N137" i="3" s="1"/>
  <c r="J137" i="3"/>
  <c r="I137" i="3"/>
  <c r="E144" i="4" s="1"/>
  <c r="I144" i="4" s="1"/>
  <c r="H137" i="3"/>
  <c r="G137" i="3"/>
  <c r="F137" i="3"/>
  <c r="M136" i="3"/>
  <c r="N136" i="3" s="1"/>
  <c r="J136" i="3"/>
  <c r="I136" i="3"/>
  <c r="E143" i="4" s="1"/>
  <c r="I143" i="4" s="1"/>
  <c r="H136" i="3"/>
  <c r="G136" i="3"/>
  <c r="F136" i="3"/>
  <c r="M135" i="3"/>
  <c r="N135" i="3" s="1"/>
  <c r="J135" i="3"/>
  <c r="I135" i="3"/>
  <c r="E142" i="4" s="1"/>
  <c r="I142" i="4" s="1"/>
  <c r="H135" i="3"/>
  <c r="G135" i="3"/>
  <c r="F135" i="3"/>
  <c r="M134" i="3"/>
  <c r="N134" i="3" s="1"/>
  <c r="J134" i="3"/>
  <c r="I134" i="3"/>
  <c r="E141" i="4" s="1"/>
  <c r="I141" i="4" s="1"/>
  <c r="H134" i="3"/>
  <c r="G134" i="3"/>
  <c r="F134" i="3"/>
  <c r="M133" i="3"/>
  <c r="N133" i="3" s="1"/>
  <c r="J133" i="3"/>
  <c r="I133" i="3"/>
  <c r="E140" i="4" s="1"/>
  <c r="I140" i="4" s="1"/>
  <c r="H133" i="3"/>
  <c r="G133" i="3"/>
  <c r="F133" i="3"/>
  <c r="M132" i="3"/>
  <c r="N132" i="3" s="1"/>
  <c r="J132" i="3"/>
  <c r="I132" i="3"/>
  <c r="E139" i="4" s="1"/>
  <c r="I139" i="4" s="1"/>
  <c r="H132" i="3"/>
  <c r="G132" i="3"/>
  <c r="F132" i="3"/>
  <c r="M131" i="3"/>
  <c r="N131" i="3" s="1"/>
  <c r="J131" i="3"/>
  <c r="I131" i="3"/>
  <c r="E138" i="4" s="1"/>
  <c r="I138" i="4" s="1"/>
  <c r="H131" i="3"/>
  <c r="G131" i="3"/>
  <c r="F131" i="3"/>
  <c r="M130" i="3"/>
  <c r="N130" i="3" s="1"/>
  <c r="J130" i="3"/>
  <c r="I130" i="3"/>
  <c r="E137" i="4" s="1"/>
  <c r="I137" i="4" s="1"/>
  <c r="H130" i="3"/>
  <c r="G130" i="3"/>
  <c r="F130" i="3"/>
  <c r="M129" i="3"/>
  <c r="N129" i="3" s="1"/>
  <c r="J129" i="3"/>
  <c r="I129" i="3"/>
  <c r="E136" i="4" s="1"/>
  <c r="I136" i="4" s="1"/>
  <c r="H129" i="3"/>
  <c r="G129" i="3"/>
  <c r="F129" i="3"/>
  <c r="M128" i="3"/>
  <c r="N128" i="3" s="1"/>
  <c r="J128" i="3"/>
  <c r="I128" i="3"/>
  <c r="E135" i="4" s="1"/>
  <c r="I135" i="4" s="1"/>
  <c r="H128" i="3"/>
  <c r="G128" i="3"/>
  <c r="F128" i="3"/>
  <c r="M127" i="3"/>
  <c r="N127" i="3" s="1"/>
  <c r="J127" i="3"/>
  <c r="I127" i="3"/>
  <c r="E134" i="4" s="1"/>
  <c r="I134" i="4" s="1"/>
  <c r="H127" i="3"/>
  <c r="G127" i="3"/>
  <c r="F127" i="3"/>
  <c r="M126" i="3"/>
  <c r="N126" i="3" s="1"/>
  <c r="J126" i="3"/>
  <c r="I126" i="3"/>
  <c r="E133" i="4" s="1"/>
  <c r="I133" i="4" s="1"/>
  <c r="H126" i="3"/>
  <c r="G126" i="3"/>
  <c r="F126" i="3"/>
  <c r="M125" i="3"/>
  <c r="N125" i="3" s="1"/>
  <c r="J125" i="3"/>
  <c r="I125" i="3"/>
  <c r="E132" i="4" s="1"/>
  <c r="I132" i="4" s="1"/>
  <c r="H125" i="3"/>
  <c r="G125" i="3"/>
  <c r="F125" i="3"/>
  <c r="M124" i="3"/>
  <c r="N124" i="3" s="1"/>
  <c r="J124" i="3"/>
  <c r="I124" i="3"/>
  <c r="E131" i="4" s="1"/>
  <c r="I131" i="4" s="1"/>
  <c r="H124" i="3"/>
  <c r="G124" i="3"/>
  <c r="F124" i="3"/>
  <c r="M123" i="3"/>
  <c r="N123" i="3" s="1"/>
  <c r="J123" i="3"/>
  <c r="I123" i="3"/>
  <c r="E130" i="4" s="1"/>
  <c r="I130" i="4" s="1"/>
  <c r="H123" i="3"/>
  <c r="G123" i="3"/>
  <c r="F123" i="3"/>
  <c r="M122" i="3"/>
  <c r="N122" i="3" s="1"/>
  <c r="J122" i="3"/>
  <c r="I122" i="3"/>
  <c r="E129" i="4" s="1"/>
  <c r="I129" i="4" s="1"/>
  <c r="H122" i="3"/>
  <c r="G122" i="3"/>
  <c r="F122" i="3"/>
  <c r="M121" i="3"/>
  <c r="N121" i="3" s="1"/>
  <c r="J121" i="3"/>
  <c r="I121" i="3"/>
  <c r="E128" i="4" s="1"/>
  <c r="I128" i="4" s="1"/>
  <c r="H121" i="3"/>
  <c r="G121" i="3"/>
  <c r="F121" i="3"/>
  <c r="M120" i="3"/>
  <c r="N120" i="3" s="1"/>
  <c r="J120" i="3"/>
  <c r="I120" i="3"/>
  <c r="E127" i="4" s="1"/>
  <c r="I127" i="4" s="1"/>
  <c r="H120" i="3"/>
  <c r="G120" i="3"/>
  <c r="F120" i="3"/>
  <c r="S119" i="3"/>
  <c r="M119" i="3"/>
  <c r="I119" i="3"/>
  <c r="E126" i="4" s="1"/>
  <c r="I126" i="4" s="1"/>
  <c r="H119" i="3"/>
  <c r="D126" i="4" s="1"/>
  <c r="H126" i="4" s="1"/>
  <c r="G119" i="3"/>
  <c r="F119" i="3"/>
  <c r="M118" i="3"/>
  <c r="I118" i="3"/>
  <c r="E125" i="4" s="1"/>
  <c r="I125" i="4" s="1"/>
  <c r="H118" i="3"/>
  <c r="G118" i="3"/>
  <c r="F118" i="3"/>
  <c r="M117" i="3"/>
  <c r="I117" i="3"/>
  <c r="E124" i="4" s="1"/>
  <c r="I124" i="4" s="1"/>
  <c r="H117" i="3"/>
  <c r="G117" i="3"/>
  <c r="F117" i="3"/>
  <c r="M116" i="3"/>
  <c r="I116" i="3"/>
  <c r="E123" i="4" s="1"/>
  <c r="I123" i="4" s="1"/>
  <c r="H116" i="3"/>
  <c r="G116" i="3"/>
  <c r="F116" i="3"/>
  <c r="M115" i="3"/>
  <c r="I115" i="3"/>
  <c r="E122" i="4" s="1"/>
  <c r="I122" i="4" s="1"/>
  <c r="H115" i="3"/>
  <c r="G115" i="3"/>
  <c r="F115" i="3"/>
  <c r="M114" i="3"/>
  <c r="I114" i="3"/>
  <c r="E121" i="4" s="1"/>
  <c r="I121" i="4" s="1"/>
  <c r="H114" i="3"/>
  <c r="G114" i="3"/>
  <c r="F114" i="3"/>
  <c r="M113" i="3"/>
  <c r="I113" i="3"/>
  <c r="E120" i="4" s="1"/>
  <c r="I120" i="4" s="1"/>
  <c r="H113" i="3"/>
  <c r="G113" i="3"/>
  <c r="F113" i="3"/>
  <c r="M112" i="3"/>
  <c r="I112" i="3"/>
  <c r="E119" i="4" s="1"/>
  <c r="I119" i="4" s="1"/>
  <c r="H112" i="3"/>
  <c r="G112" i="3"/>
  <c r="F112" i="3"/>
  <c r="M111" i="3"/>
  <c r="I111" i="3"/>
  <c r="E118" i="4" s="1"/>
  <c r="I118" i="4" s="1"/>
  <c r="H111" i="3"/>
  <c r="G111" i="3"/>
  <c r="F111" i="3"/>
  <c r="M110" i="3"/>
  <c r="I110" i="3"/>
  <c r="E117" i="4" s="1"/>
  <c r="I117" i="4" s="1"/>
  <c r="H110" i="3"/>
  <c r="G110" i="3"/>
  <c r="F110" i="3"/>
  <c r="M109" i="3"/>
  <c r="I109" i="3"/>
  <c r="E116" i="4" s="1"/>
  <c r="I116" i="4" s="1"/>
  <c r="H109" i="3"/>
  <c r="G109" i="3"/>
  <c r="F109" i="3"/>
  <c r="M108" i="3"/>
  <c r="I108" i="3"/>
  <c r="E115" i="4" s="1"/>
  <c r="I115" i="4" s="1"/>
  <c r="H108" i="3"/>
  <c r="G108" i="3"/>
  <c r="F108" i="3"/>
  <c r="M107" i="3"/>
  <c r="I107" i="3"/>
  <c r="E114" i="4" s="1"/>
  <c r="I114" i="4" s="1"/>
  <c r="H107" i="3"/>
  <c r="G107" i="3"/>
  <c r="F107" i="3"/>
  <c r="M106" i="3"/>
  <c r="I106" i="3"/>
  <c r="E113" i="4" s="1"/>
  <c r="I113" i="4" s="1"/>
  <c r="H106" i="3"/>
  <c r="G106" i="3"/>
  <c r="F106" i="3"/>
  <c r="M105" i="3"/>
  <c r="I105" i="3"/>
  <c r="E112" i="4" s="1"/>
  <c r="I112" i="4" s="1"/>
  <c r="H105" i="3"/>
  <c r="G105" i="3"/>
  <c r="F105" i="3"/>
  <c r="M104" i="3"/>
  <c r="I104" i="3"/>
  <c r="E111" i="4" s="1"/>
  <c r="I111" i="4" s="1"/>
  <c r="H104" i="3"/>
  <c r="G104" i="3"/>
  <c r="F104" i="3"/>
  <c r="M103" i="3"/>
  <c r="I103" i="3"/>
  <c r="E110" i="4" s="1"/>
  <c r="I110" i="4" s="1"/>
  <c r="H103" i="3"/>
  <c r="G103" i="3"/>
  <c r="F103" i="3"/>
  <c r="M102" i="3"/>
  <c r="I102" i="3"/>
  <c r="E109" i="4" s="1"/>
  <c r="I109" i="4" s="1"/>
  <c r="H102" i="3"/>
  <c r="G102" i="3"/>
  <c r="F102" i="3"/>
  <c r="M101" i="3"/>
  <c r="I101" i="3"/>
  <c r="E108" i="4" s="1"/>
  <c r="I108" i="4" s="1"/>
  <c r="H101" i="3"/>
  <c r="G101" i="3"/>
  <c r="F101" i="3"/>
  <c r="M100" i="3"/>
  <c r="I100" i="3"/>
  <c r="E107" i="4" s="1"/>
  <c r="I107" i="4" s="1"/>
  <c r="H100" i="3"/>
  <c r="G100" i="3"/>
  <c r="F100" i="3"/>
  <c r="M99" i="3"/>
  <c r="I99" i="3"/>
  <c r="E106" i="4" s="1"/>
  <c r="I106" i="4" s="1"/>
  <c r="H99" i="3"/>
  <c r="G99" i="3"/>
  <c r="F99" i="3"/>
  <c r="M98" i="3"/>
  <c r="I98" i="3"/>
  <c r="E105" i="4" s="1"/>
  <c r="I105" i="4" s="1"/>
  <c r="H98" i="3"/>
  <c r="G98" i="3"/>
  <c r="F98" i="3"/>
  <c r="M97" i="3"/>
  <c r="I97" i="3"/>
  <c r="E104" i="4" s="1"/>
  <c r="I104" i="4" s="1"/>
  <c r="H97" i="3"/>
  <c r="G97" i="3"/>
  <c r="F97" i="3"/>
  <c r="M96" i="3"/>
  <c r="I96" i="3"/>
  <c r="E103" i="4" s="1"/>
  <c r="I103" i="4" s="1"/>
  <c r="H96" i="3"/>
  <c r="G96" i="3"/>
  <c r="F96" i="3"/>
  <c r="M95" i="3"/>
  <c r="I95" i="3"/>
  <c r="E102" i="4" s="1"/>
  <c r="I102" i="4" s="1"/>
  <c r="H95" i="3"/>
  <c r="G95" i="3"/>
  <c r="F95" i="3"/>
  <c r="M94" i="3"/>
  <c r="I94" i="3"/>
  <c r="E101" i="4" s="1"/>
  <c r="I101" i="4" s="1"/>
  <c r="H94" i="3"/>
  <c r="G94" i="3"/>
  <c r="F94" i="3"/>
  <c r="M93" i="3"/>
  <c r="I93" i="3"/>
  <c r="E100" i="4" s="1"/>
  <c r="I100" i="4" s="1"/>
  <c r="H93" i="3"/>
  <c r="G93" i="3"/>
  <c r="F93" i="3"/>
  <c r="M92" i="3"/>
  <c r="I92" i="3"/>
  <c r="E99" i="4" s="1"/>
  <c r="I99" i="4" s="1"/>
  <c r="H92" i="3"/>
  <c r="G92" i="3"/>
  <c r="F92" i="3"/>
  <c r="M91" i="3"/>
  <c r="I91" i="3"/>
  <c r="E98" i="4" s="1"/>
  <c r="I98" i="4" s="1"/>
  <c r="H91" i="3"/>
  <c r="G91" i="3"/>
  <c r="F91" i="3"/>
  <c r="M90" i="3"/>
  <c r="I90" i="3"/>
  <c r="E97" i="4" s="1"/>
  <c r="I97" i="4" s="1"/>
  <c r="H90" i="3"/>
  <c r="G90" i="3"/>
  <c r="F90" i="3"/>
  <c r="M89" i="3"/>
  <c r="I89" i="3"/>
  <c r="E96" i="4" s="1"/>
  <c r="I96" i="4" s="1"/>
  <c r="H89" i="3"/>
  <c r="G89" i="3"/>
  <c r="F89" i="3"/>
  <c r="M88" i="3"/>
  <c r="I88" i="3"/>
  <c r="E95" i="4" s="1"/>
  <c r="I95" i="4" s="1"/>
  <c r="H88" i="3"/>
  <c r="G88" i="3"/>
  <c r="F88" i="3"/>
  <c r="M87" i="3"/>
  <c r="I87" i="3"/>
  <c r="E94" i="4" s="1"/>
  <c r="I94" i="4" s="1"/>
  <c r="H87" i="3"/>
  <c r="G87" i="3"/>
  <c r="F87" i="3"/>
  <c r="M86" i="3"/>
  <c r="I86" i="3"/>
  <c r="E93" i="4" s="1"/>
  <c r="I93" i="4" s="1"/>
  <c r="H86" i="3"/>
  <c r="G86" i="3"/>
  <c r="F86" i="3"/>
  <c r="M85" i="3"/>
  <c r="I85" i="3"/>
  <c r="E92" i="4" s="1"/>
  <c r="I92" i="4" s="1"/>
  <c r="H85" i="3"/>
  <c r="G85" i="3"/>
  <c r="F85" i="3"/>
  <c r="M84" i="3"/>
  <c r="I84" i="3"/>
  <c r="E91" i="4" s="1"/>
  <c r="I91" i="4" s="1"/>
  <c r="H84" i="3"/>
  <c r="G84" i="3"/>
  <c r="F84" i="3"/>
  <c r="M83" i="3"/>
  <c r="I83" i="3"/>
  <c r="E90" i="4" s="1"/>
  <c r="I90" i="4" s="1"/>
  <c r="H83" i="3"/>
  <c r="G83" i="3"/>
  <c r="F83" i="3"/>
  <c r="M82" i="3"/>
  <c r="I82" i="3"/>
  <c r="E89" i="4" s="1"/>
  <c r="I89" i="4" s="1"/>
  <c r="H82" i="3"/>
  <c r="G82" i="3"/>
  <c r="F82" i="3"/>
  <c r="M81" i="3"/>
  <c r="I81" i="3"/>
  <c r="E88" i="4" s="1"/>
  <c r="I88" i="4" s="1"/>
  <c r="H81" i="3"/>
  <c r="G81" i="3"/>
  <c r="F81" i="3"/>
  <c r="M80" i="3"/>
  <c r="I80" i="3"/>
  <c r="E87" i="4" s="1"/>
  <c r="I87" i="4" s="1"/>
  <c r="H80" i="3"/>
  <c r="G80" i="3"/>
  <c r="F80" i="3"/>
  <c r="M79" i="3"/>
  <c r="I79" i="3"/>
  <c r="E86" i="4" s="1"/>
  <c r="I86" i="4" s="1"/>
  <c r="H79" i="3"/>
  <c r="G79" i="3"/>
  <c r="F79" i="3"/>
  <c r="M78" i="3"/>
  <c r="N78" i="3" s="1"/>
  <c r="J78" i="3"/>
  <c r="I78" i="3"/>
  <c r="E85" i="4" s="1"/>
  <c r="I85" i="4" s="1"/>
  <c r="H78" i="3"/>
  <c r="G78" i="3"/>
  <c r="F78" i="3"/>
  <c r="M77" i="3"/>
  <c r="N77" i="3" s="1"/>
  <c r="J77" i="3"/>
  <c r="I77" i="3"/>
  <c r="E84" i="4" s="1"/>
  <c r="I84" i="4" s="1"/>
  <c r="H77" i="3"/>
  <c r="G77" i="3"/>
  <c r="F77" i="3"/>
  <c r="M76" i="3"/>
  <c r="N76" i="3" s="1"/>
  <c r="J76" i="3"/>
  <c r="I76" i="3"/>
  <c r="E83" i="4" s="1"/>
  <c r="I83" i="4" s="1"/>
  <c r="H76" i="3"/>
  <c r="G76" i="3"/>
  <c r="F76" i="3"/>
  <c r="M75" i="3"/>
  <c r="N75" i="3" s="1"/>
  <c r="J75" i="3"/>
  <c r="I75" i="3"/>
  <c r="E82" i="4" s="1"/>
  <c r="I82" i="4" s="1"/>
  <c r="H75" i="3"/>
  <c r="G75" i="3"/>
  <c r="F75" i="3"/>
  <c r="M74" i="3"/>
  <c r="N74" i="3" s="1"/>
  <c r="J74" i="3"/>
  <c r="I74" i="3"/>
  <c r="E81" i="4" s="1"/>
  <c r="I81" i="4" s="1"/>
  <c r="H74" i="3"/>
  <c r="G74" i="3"/>
  <c r="F74" i="3"/>
  <c r="M73" i="3"/>
  <c r="N73" i="3" s="1"/>
  <c r="J73" i="3"/>
  <c r="I73" i="3"/>
  <c r="E80" i="4" s="1"/>
  <c r="I80" i="4" s="1"/>
  <c r="H73" i="3"/>
  <c r="G73" i="3"/>
  <c r="F73" i="3"/>
  <c r="M72" i="3"/>
  <c r="N72" i="3" s="1"/>
  <c r="J72" i="3"/>
  <c r="I72" i="3"/>
  <c r="E79" i="4" s="1"/>
  <c r="I79" i="4" s="1"/>
  <c r="H72" i="3"/>
  <c r="G72" i="3"/>
  <c r="F72" i="3"/>
  <c r="M71" i="3"/>
  <c r="N71" i="3" s="1"/>
  <c r="J71" i="3"/>
  <c r="I71" i="3"/>
  <c r="E78" i="4" s="1"/>
  <c r="I78" i="4" s="1"/>
  <c r="H71" i="3"/>
  <c r="G71" i="3"/>
  <c r="F71" i="3"/>
  <c r="M70" i="3"/>
  <c r="N70" i="3" s="1"/>
  <c r="J70" i="3"/>
  <c r="I70" i="3"/>
  <c r="E77" i="4" s="1"/>
  <c r="I77" i="4" s="1"/>
  <c r="H70" i="3"/>
  <c r="G70" i="3"/>
  <c r="F70" i="3"/>
  <c r="M69" i="3"/>
  <c r="N69" i="3" s="1"/>
  <c r="J69" i="3"/>
  <c r="I69" i="3"/>
  <c r="E76" i="4" s="1"/>
  <c r="I76" i="4" s="1"/>
  <c r="H69" i="3"/>
  <c r="G69" i="3"/>
  <c r="F69" i="3"/>
  <c r="M68" i="3"/>
  <c r="N68" i="3" s="1"/>
  <c r="J68" i="3"/>
  <c r="I68" i="3"/>
  <c r="E75" i="4" s="1"/>
  <c r="I75" i="4" s="1"/>
  <c r="H68" i="3"/>
  <c r="G68" i="3"/>
  <c r="F68" i="3"/>
  <c r="M67" i="3"/>
  <c r="N67" i="3" s="1"/>
  <c r="J67" i="3"/>
  <c r="I67" i="3"/>
  <c r="E74" i="4" s="1"/>
  <c r="I74" i="4" s="1"/>
  <c r="H67" i="3"/>
  <c r="G67" i="3"/>
  <c r="F67" i="3"/>
  <c r="M66" i="3"/>
  <c r="N66" i="3" s="1"/>
  <c r="J66" i="3"/>
  <c r="I66" i="3"/>
  <c r="E73" i="4" s="1"/>
  <c r="I73" i="4" s="1"/>
  <c r="H66" i="3"/>
  <c r="G66" i="3"/>
  <c r="F66" i="3"/>
  <c r="M65" i="3"/>
  <c r="N65" i="3" s="1"/>
  <c r="J65" i="3"/>
  <c r="I65" i="3"/>
  <c r="E72" i="4" s="1"/>
  <c r="I72" i="4" s="1"/>
  <c r="H65" i="3"/>
  <c r="G65" i="3"/>
  <c r="F65" i="3"/>
  <c r="M64" i="3"/>
  <c r="N64" i="3" s="1"/>
  <c r="J64" i="3"/>
  <c r="I64" i="3"/>
  <c r="E71" i="4" s="1"/>
  <c r="I71" i="4" s="1"/>
  <c r="H64" i="3"/>
  <c r="G64" i="3"/>
  <c r="F64" i="3"/>
  <c r="M63" i="3"/>
  <c r="N63" i="3" s="1"/>
  <c r="J63" i="3"/>
  <c r="I63" i="3"/>
  <c r="E70" i="4" s="1"/>
  <c r="I70" i="4" s="1"/>
  <c r="H63" i="3"/>
  <c r="G63" i="3"/>
  <c r="F63" i="3"/>
  <c r="M62" i="3"/>
  <c r="N62" i="3" s="1"/>
  <c r="J62" i="3"/>
  <c r="I62" i="3"/>
  <c r="E69" i="4" s="1"/>
  <c r="I69" i="4" s="1"/>
  <c r="H62" i="3"/>
  <c r="G62" i="3"/>
  <c r="F62" i="3"/>
  <c r="M61" i="3"/>
  <c r="N61" i="3" s="1"/>
  <c r="J61" i="3"/>
  <c r="I61" i="3"/>
  <c r="E68" i="4" s="1"/>
  <c r="I68" i="4" s="1"/>
  <c r="H61" i="3"/>
  <c r="G61" i="3"/>
  <c r="F61" i="3"/>
  <c r="M60" i="3"/>
  <c r="N60" i="3" s="1"/>
  <c r="J60" i="3"/>
  <c r="I60" i="3"/>
  <c r="E67" i="4" s="1"/>
  <c r="I67" i="4" s="1"/>
  <c r="H60" i="3"/>
  <c r="G60" i="3"/>
  <c r="F60" i="3"/>
  <c r="M59" i="3"/>
  <c r="N59" i="3" s="1"/>
  <c r="J59" i="3"/>
  <c r="I59" i="3"/>
  <c r="E66" i="4" s="1"/>
  <c r="I66" i="4" s="1"/>
  <c r="H59" i="3"/>
  <c r="G59" i="3"/>
  <c r="F59" i="3"/>
  <c r="M58" i="3"/>
  <c r="N58" i="3" s="1"/>
  <c r="J58" i="3"/>
  <c r="I58" i="3"/>
  <c r="E65" i="4" s="1"/>
  <c r="I65" i="4" s="1"/>
  <c r="H58" i="3"/>
  <c r="G58" i="3"/>
  <c r="F58" i="3"/>
  <c r="M57" i="3"/>
  <c r="N57" i="3" s="1"/>
  <c r="J57" i="3"/>
  <c r="I57" i="3"/>
  <c r="E64" i="4" s="1"/>
  <c r="I64" i="4" s="1"/>
  <c r="H57" i="3"/>
  <c r="G57" i="3"/>
  <c r="F57" i="3"/>
  <c r="M56" i="3"/>
  <c r="N56" i="3" s="1"/>
  <c r="J56" i="3"/>
  <c r="I56" i="3"/>
  <c r="E63" i="4" s="1"/>
  <c r="I63" i="4" s="1"/>
  <c r="H56" i="3"/>
  <c r="G56" i="3"/>
  <c r="F56" i="3"/>
  <c r="M55" i="3"/>
  <c r="N55" i="3" s="1"/>
  <c r="J55" i="3"/>
  <c r="I55" i="3"/>
  <c r="E62" i="4" s="1"/>
  <c r="I62" i="4" s="1"/>
  <c r="H55" i="3"/>
  <c r="G55" i="3"/>
  <c r="F55" i="3"/>
  <c r="M54" i="3"/>
  <c r="N54" i="3" s="1"/>
  <c r="J54" i="3"/>
  <c r="I54" i="3"/>
  <c r="E61" i="4" s="1"/>
  <c r="I61" i="4" s="1"/>
  <c r="H54" i="3"/>
  <c r="G54" i="3"/>
  <c r="F54" i="3"/>
  <c r="M53" i="3"/>
  <c r="N53" i="3" s="1"/>
  <c r="J53" i="3"/>
  <c r="I53" i="3"/>
  <c r="E60" i="4" s="1"/>
  <c r="I60" i="4" s="1"/>
  <c r="H53" i="3"/>
  <c r="G53" i="3"/>
  <c r="F53" i="3"/>
  <c r="M52" i="3"/>
  <c r="I52" i="3"/>
  <c r="H52" i="3"/>
  <c r="S52" i="3" s="1"/>
  <c r="G52" i="3"/>
  <c r="F52" i="3"/>
  <c r="M51" i="3"/>
  <c r="I51" i="3"/>
  <c r="H51" i="3"/>
  <c r="S51" i="3" s="1"/>
  <c r="G51" i="3"/>
  <c r="F51" i="3"/>
  <c r="M50" i="3"/>
  <c r="I50" i="3"/>
  <c r="H50" i="3"/>
  <c r="S50" i="3" s="1"/>
  <c r="G50" i="3"/>
  <c r="F50" i="3"/>
  <c r="M49" i="3"/>
  <c r="I49" i="3"/>
  <c r="H49" i="3"/>
  <c r="S49" i="3" s="1"/>
  <c r="G49" i="3"/>
  <c r="F49" i="3"/>
  <c r="M48" i="3"/>
  <c r="I48" i="3"/>
  <c r="H48" i="3"/>
  <c r="S48" i="3" s="1"/>
  <c r="G48" i="3"/>
  <c r="F48" i="3"/>
  <c r="M47" i="3"/>
  <c r="I47" i="3"/>
  <c r="H47" i="3"/>
  <c r="S47" i="3" s="1"/>
  <c r="G47" i="3"/>
  <c r="F47" i="3"/>
  <c r="M46" i="3"/>
  <c r="I46" i="3"/>
  <c r="H46" i="3"/>
  <c r="S46" i="3" s="1"/>
  <c r="G46" i="3"/>
  <c r="F46" i="3"/>
  <c r="M45" i="3"/>
  <c r="I45" i="3"/>
  <c r="H45" i="3"/>
  <c r="S45" i="3" s="1"/>
  <c r="G45" i="3"/>
  <c r="F45" i="3"/>
  <c r="M44" i="3"/>
  <c r="I44" i="3"/>
  <c r="H44" i="3"/>
  <c r="S44" i="3" s="1"/>
  <c r="G44" i="3"/>
  <c r="F44" i="3"/>
  <c r="M43" i="3"/>
  <c r="I43" i="3"/>
  <c r="H43" i="3"/>
  <c r="S43" i="3" s="1"/>
  <c r="G43" i="3"/>
  <c r="F43" i="3"/>
  <c r="M42" i="3"/>
  <c r="I42" i="3"/>
  <c r="H42" i="3"/>
  <c r="S42" i="3" s="1"/>
  <c r="G42" i="3"/>
  <c r="F42" i="3"/>
  <c r="M41" i="3"/>
  <c r="I41" i="3"/>
  <c r="H41" i="3"/>
  <c r="S41" i="3" s="1"/>
  <c r="G41" i="3"/>
  <c r="F41" i="3"/>
  <c r="M40" i="3"/>
  <c r="I40" i="3"/>
  <c r="H40" i="3"/>
  <c r="S40" i="3" s="1"/>
  <c r="G40" i="3"/>
  <c r="F40" i="3"/>
  <c r="M39" i="3"/>
  <c r="I39" i="3"/>
  <c r="H39" i="3"/>
  <c r="S39" i="3" s="1"/>
  <c r="G39" i="3"/>
  <c r="F39" i="3"/>
  <c r="M38" i="3"/>
  <c r="I38" i="3"/>
  <c r="E45" i="4" s="1"/>
  <c r="I45" i="4" s="1"/>
  <c r="H38" i="3"/>
  <c r="G38" i="3"/>
  <c r="F38" i="3"/>
  <c r="M37" i="3"/>
  <c r="I37" i="3"/>
  <c r="E44" i="4" s="1"/>
  <c r="I44" i="4" s="1"/>
  <c r="H37" i="3"/>
  <c r="G37" i="3"/>
  <c r="F37" i="3"/>
  <c r="M36" i="3"/>
  <c r="I36" i="3"/>
  <c r="E43" i="4" s="1"/>
  <c r="I43" i="4" s="1"/>
  <c r="H36" i="3"/>
  <c r="G36" i="3"/>
  <c r="F36" i="3"/>
  <c r="M35" i="3"/>
  <c r="I35" i="3"/>
  <c r="E42" i="4" s="1"/>
  <c r="I42" i="4" s="1"/>
  <c r="H35" i="3"/>
  <c r="G35" i="3"/>
  <c r="F35" i="3"/>
  <c r="M34" i="3"/>
  <c r="I34" i="3"/>
  <c r="E41" i="4" s="1"/>
  <c r="I41" i="4" s="1"/>
  <c r="H34" i="3"/>
  <c r="G34" i="3"/>
  <c r="F34" i="3"/>
  <c r="M33" i="3"/>
  <c r="I33" i="3"/>
  <c r="E40" i="4" s="1"/>
  <c r="I40" i="4" s="1"/>
  <c r="H33" i="3"/>
  <c r="G33" i="3"/>
  <c r="F33" i="3"/>
  <c r="M32" i="3"/>
  <c r="I32" i="3"/>
  <c r="E39" i="4" s="1"/>
  <c r="I39" i="4" s="1"/>
  <c r="H32" i="3"/>
  <c r="G32" i="3"/>
  <c r="F32" i="3"/>
  <c r="M31" i="3"/>
  <c r="I31" i="3"/>
  <c r="E38" i="4" s="1"/>
  <c r="I38" i="4" s="1"/>
  <c r="H31" i="3"/>
  <c r="G31" i="3"/>
  <c r="F31" i="3"/>
  <c r="M30" i="3"/>
  <c r="I30" i="3"/>
  <c r="E37" i="4" s="1"/>
  <c r="I37" i="4" s="1"/>
  <c r="H30" i="3"/>
  <c r="G30" i="3"/>
  <c r="F30" i="3"/>
  <c r="M29" i="3"/>
  <c r="I29" i="3"/>
  <c r="E36" i="4" s="1"/>
  <c r="I36" i="4" s="1"/>
  <c r="H29" i="3"/>
  <c r="G29" i="3"/>
  <c r="F29" i="3"/>
  <c r="M28" i="3"/>
  <c r="I28" i="3"/>
  <c r="E35" i="4" s="1"/>
  <c r="I35" i="4" s="1"/>
  <c r="H28" i="3"/>
  <c r="G28" i="3"/>
  <c r="F28" i="3"/>
  <c r="M27" i="3"/>
  <c r="I27" i="3"/>
  <c r="E34" i="4" s="1"/>
  <c r="I34" i="4" s="1"/>
  <c r="H27" i="3"/>
  <c r="G27" i="3"/>
  <c r="F27" i="3"/>
  <c r="M26" i="3"/>
  <c r="I26" i="3"/>
  <c r="E33" i="4" s="1"/>
  <c r="I33" i="4" s="1"/>
  <c r="H26" i="3"/>
  <c r="G26" i="3"/>
  <c r="F26" i="3"/>
  <c r="M25" i="3"/>
  <c r="I25" i="3"/>
  <c r="E32" i="4" s="1"/>
  <c r="I32" i="4" s="1"/>
  <c r="H25" i="3"/>
  <c r="G25" i="3"/>
  <c r="F25" i="3"/>
  <c r="M24" i="3"/>
  <c r="I24" i="3"/>
  <c r="E31" i="4" s="1"/>
  <c r="I31" i="4" s="1"/>
  <c r="H24" i="3"/>
  <c r="G24" i="3"/>
  <c r="F24" i="3"/>
  <c r="M23" i="3"/>
  <c r="I23" i="3"/>
  <c r="E30" i="4" s="1"/>
  <c r="I30" i="4" s="1"/>
  <c r="H23" i="3"/>
  <c r="G23" i="3"/>
  <c r="F23" i="3"/>
  <c r="M22" i="3"/>
  <c r="I22" i="3"/>
  <c r="E29" i="4" s="1"/>
  <c r="I29" i="4" s="1"/>
  <c r="H22" i="3"/>
  <c r="G22" i="3"/>
  <c r="F22" i="3"/>
  <c r="M21" i="3"/>
  <c r="I21" i="3"/>
  <c r="E28" i="4" s="1"/>
  <c r="I28" i="4" s="1"/>
  <c r="H21" i="3"/>
  <c r="G21" i="3"/>
  <c r="F21" i="3"/>
  <c r="M20" i="3"/>
  <c r="I20" i="3"/>
  <c r="E27" i="4" s="1"/>
  <c r="I27" i="4" s="1"/>
  <c r="H20" i="3"/>
  <c r="G20" i="3"/>
  <c r="F20" i="3"/>
  <c r="M19" i="3"/>
  <c r="I19" i="3"/>
  <c r="E26" i="4" s="1"/>
  <c r="I26" i="4" s="1"/>
  <c r="H19" i="3"/>
  <c r="G19" i="3"/>
  <c r="F19" i="3"/>
  <c r="M18" i="3"/>
  <c r="I18" i="3"/>
  <c r="E25" i="4" s="1"/>
  <c r="I25" i="4" s="1"/>
  <c r="H18" i="3"/>
  <c r="G18" i="3"/>
  <c r="F18" i="3"/>
  <c r="M17" i="3"/>
  <c r="I17" i="3"/>
  <c r="E24" i="4" s="1"/>
  <c r="I24" i="4" s="1"/>
  <c r="H17" i="3"/>
  <c r="G17" i="3"/>
  <c r="F17" i="3"/>
  <c r="M16" i="3"/>
  <c r="I16" i="3"/>
  <c r="E23" i="4" s="1"/>
  <c r="I23" i="4" s="1"/>
  <c r="H16" i="3"/>
  <c r="G16" i="3"/>
  <c r="F16" i="3"/>
  <c r="M15" i="3"/>
  <c r="I15" i="3"/>
  <c r="E22" i="4" s="1"/>
  <c r="I22" i="4" s="1"/>
  <c r="H15" i="3"/>
  <c r="G15" i="3"/>
  <c r="F15" i="3"/>
  <c r="M14" i="3"/>
  <c r="I14" i="3"/>
  <c r="E21" i="4" s="1"/>
  <c r="I21" i="4" s="1"/>
  <c r="H14" i="3"/>
  <c r="G14" i="3"/>
  <c r="F14" i="3"/>
  <c r="M13" i="3"/>
  <c r="I13" i="3"/>
  <c r="E20" i="4" s="1"/>
  <c r="I20" i="4" s="1"/>
  <c r="H13" i="3"/>
  <c r="G13" i="3"/>
  <c r="F13" i="3"/>
  <c r="M12" i="3"/>
  <c r="I12" i="3"/>
  <c r="E19" i="4" s="1"/>
  <c r="I19" i="4" s="1"/>
  <c r="H12" i="3"/>
  <c r="G12" i="3"/>
  <c r="F12" i="3"/>
  <c r="M11" i="3"/>
  <c r="I11" i="3"/>
  <c r="E18" i="4" s="1"/>
  <c r="I18" i="4" s="1"/>
  <c r="H11" i="3"/>
  <c r="G11" i="3"/>
  <c r="F11" i="3"/>
  <c r="M10" i="3"/>
  <c r="I10" i="3"/>
  <c r="E17" i="4" s="1"/>
  <c r="I17" i="4" s="1"/>
  <c r="H10" i="3"/>
  <c r="G10" i="3"/>
  <c r="F10" i="3"/>
  <c r="M9" i="3"/>
  <c r="I9" i="3"/>
  <c r="E16" i="4" s="1"/>
  <c r="I16" i="4" s="1"/>
  <c r="H9" i="3"/>
  <c r="G9" i="3"/>
  <c r="F9" i="3"/>
  <c r="M8" i="3"/>
  <c r="I8" i="3"/>
  <c r="E15" i="4" s="1"/>
  <c r="I15" i="4" s="1"/>
  <c r="H8" i="3"/>
  <c r="G8" i="3"/>
  <c r="F8" i="3"/>
  <c r="M7" i="3"/>
  <c r="I7" i="3"/>
  <c r="E14" i="4" s="1"/>
  <c r="I14" i="4" s="1"/>
  <c r="H7" i="3"/>
  <c r="G7" i="3"/>
  <c r="F7" i="3"/>
  <c r="M6" i="3"/>
  <c r="I6" i="3"/>
  <c r="E13" i="4" s="1"/>
  <c r="I13" i="4" s="1"/>
  <c r="H6" i="3"/>
  <c r="G6" i="3"/>
  <c r="F6" i="3"/>
  <c r="M5" i="3"/>
  <c r="I5" i="3"/>
  <c r="E12" i="4" s="1"/>
  <c r="I12" i="4" s="1"/>
  <c r="H5" i="3"/>
  <c r="G5" i="3"/>
  <c r="F5" i="3"/>
  <c r="M4" i="3"/>
  <c r="I4" i="3"/>
  <c r="E11" i="4" s="1"/>
  <c r="I11" i="4" s="1"/>
  <c r="H4" i="3"/>
  <c r="G4" i="3"/>
  <c r="F4" i="3"/>
  <c r="M3" i="3"/>
  <c r="I3" i="3"/>
  <c r="E10" i="4" s="1"/>
  <c r="H3" i="3"/>
  <c r="G3" i="3"/>
  <c r="F3" i="3"/>
  <c r="Q9" i="2"/>
  <c r="H9" i="2"/>
  <c r="R8" i="2"/>
  <c r="Q8" i="2"/>
  <c r="P8" i="2"/>
  <c r="R7" i="2"/>
  <c r="Q7" i="2"/>
  <c r="P7" i="2"/>
  <c r="R6" i="2"/>
  <c r="Q6" i="2"/>
  <c r="P6" i="2"/>
  <c r="R5" i="2"/>
  <c r="Q5" i="2"/>
  <c r="P5" i="2"/>
  <c r="R4" i="2"/>
  <c r="R9" i="2" s="1"/>
  <c r="Q4" i="2"/>
  <c r="P4" i="2"/>
  <c r="E167" i="6" l="1"/>
  <c r="H167" i="6"/>
  <c r="J167" i="6" s="1"/>
  <c r="H47" i="6"/>
  <c r="J47" i="6" s="1"/>
  <c r="E47" i="6"/>
  <c r="E246" i="6"/>
  <c r="H246" i="6"/>
  <c r="J246" i="6" s="1"/>
  <c r="E245" i="6"/>
  <c r="H245" i="6"/>
  <c r="J245" i="6" s="1"/>
  <c r="E244" i="6"/>
  <c r="H244" i="6"/>
  <c r="J244" i="6" s="1"/>
  <c r="E243" i="6"/>
  <c r="H243" i="6"/>
  <c r="J243" i="6" s="1"/>
  <c r="E242" i="6"/>
  <c r="H242" i="6"/>
  <c r="J242" i="6" s="1"/>
  <c r="E241" i="6"/>
  <c r="H241" i="6"/>
  <c r="J241" i="6" s="1"/>
  <c r="E240" i="6"/>
  <c r="H240" i="6"/>
  <c r="J240" i="6" s="1"/>
  <c r="E239" i="6"/>
  <c r="H239" i="6"/>
  <c r="J239" i="6" s="1"/>
  <c r="E238" i="6"/>
  <c r="H238" i="6"/>
  <c r="J238" i="6" s="1"/>
  <c r="E237" i="6"/>
  <c r="H237" i="6"/>
  <c r="J237" i="6" s="1"/>
  <c r="E236" i="6"/>
  <c r="H236" i="6"/>
  <c r="J236" i="6" s="1"/>
  <c r="E235" i="6"/>
  <c r="H235" i="6"/>
  <c r="J235" i="6" s="1"/>
  <c r="E234" i="6"/>
  <c r="H234" i="6"/>
  <c r="J234" i="6" s="1"/>
  <c r="E233" i="6"/>
  <c r="H233" i="6"/>
  <c r="J233" i="6" s="1"/>
  <c r="E232" i="6"/>
  <c r="H232" i="6"/>
  <c r="J232" i="6" s="1"/>
  <c r="E231" i="6"/>
  <c r="H231" i="6"/>
  <c r="J231" i="6" s="1"/>
  <c r="E230" i="6"/>
  <c r="H230" i="6"/>
  <c r="J230" i="6" s="1"/>
  <c r="E229" i="6"/>
  <c r="H229" i="6"/>
  <c r="J229" i="6" s="1"/>
  <c r="E228" i="6"/>
  <c r="H228" i="6"/>
  <c r="J228" i="6" s="1"/>
  <c r="E227" i="6"/>
  <c r="H227" i="6"/>
  <c r="J227" i="6" s="1"/>
  <c r="E226" i="6"/>
  <c r="H226" i="6"/>
  <c r="J226" i="6" s="1"/>
  <c r="E225" i="6"/>
  <c r="H225" i="6"/>
  <c r="J225" i="6" s="1"/>
  <c r="E224" i="6"/>
  <c r="H224" i="6"/>
  <c r="J224" i="6" s="1"/>
  <c r="E223" i="6"/>
  <c r="H223" i="6"/>
  <c r="J223" i="6" s="1"/>
  <c r="E222" i="6"/>
  <c r="H222" i="6"/>
  <c r="J222" i="6" s="1"/>
  <c r="E221" i="6"/>
  <c r="H221" i="6"/>
  <c r="J221" i="6" s="1"/>
  <c r="E220" i="6"/>
  <c r="H220" i="6"/>
  <c r="J220" i="6" s="1"/>
  <c r="E219" i="6"/>
  <c r="H219" i="6"/>
  <c r="J219" i="6" s="1"/>
  <c r="E218" i="6"/>
  <c r="H218" i="6"/>
  <c r="J218" i="6" s="1"/>
  <c r="E217" i="6"/>
  <c r="H217" i="6"/>
  <c r="J217" i="6" s="1"/>
  <c r="E216" i="6"/>
  <c r="H216" i="6"/>
  <c r="J216" i="6" s="1"/>
  <c r="E215" i="6"/>
  <c r="H215" i="6"/>
  <c r="J215" i="6" s="1"/>
  <c r="E214" i="6"/>
  <c r="H214" i="6"/>
  <c r="J214" i="6" s="1"/>
  <c r="E213" i="6"/>
  <c r="H213" i="6"/>
  <c r="J213" i="6" s="1"/>
  <c r="E212" i="6"/>
  <c r="H212" i="6"/>
  <c r="J212" i="6" s="1"/>
  <c r="E211" i="6"/>
  <c r="H211" i="6"/>
  <c r="J211" i="6" s="1"/>
  <c r="E210" i="6"/>
  <c r="H210" i="6"/>
  <c r="J210" i="6" s="1"/>
  <c r="E209" i="6"/>
  <c r="H209" i="6"/>
  <c r="J209" i="6" s="1"/>
  <c r="E208" i="6"/>
  <c r="H208" i="6"/>
  <c r="J208" i="6" s="1"/>
  <c r="E207" i="6"/>
  <c r="H207" i="6"/>
  <c r="J207" i="6" s="1"/>
  <c r="E206" i="6"/>
  <c r="H206" i="6"/>
  <c r="J206" i="6" s="1"/>
  <c r="E205" i="6"/>
  <c r="H205" i="6"/>
  <c r="J205" i="6" s="1"/>
  <c r="E204" i="6"/>
  <c r="H204" i="6"/>
  <c r="J204" i="6" s="1"/>
  <c r="E203" i="6"/>
  <c r="H203" i="6"/>
  <c r="J203" i="6" s="1"/>
  <c r="E202" i="6"/>
  <c r="H202" i="6"/>
  <c r="J202" i="6" s="1"/>
  <c r="E201" i="6"/>
  <c r="H201" i="6"/>
  <c r="J201" i="6" s="1"/>
  <c r="E200" i="6"/>
  <c r="H200" i="6"/>
  <c r="J200" i="6" s="1"/>
  <c r="E199" i="6"/>
  <c r="H199" i="6"/>
  <c r="J199" i="6" s="1"/>
  <c r="E198" i="6"/>
  <c r="H198" i="6"/>
  <c r="J198" i="6" s="1"/>
  <c r="E197" i="6"/>
  <c r="H197" i="6"/>
  <c r="J197" i="6" s="1"/>
  <c r="E196" i="6"/>
  <c r="H196" i="6"/>
  <c r="J196" i="6" s="1"/>
  <c r="E195" i="6"/>
  <c r="H195" i="6"/>
  <c r="J195" i="6" s="1"/>
  <c r="E194" i="6"/>
  <c r="H194" i="6"/>
  <c r="J194" i="6" s="1"/>
  <c r="E193" i="6"/>
  <c r="H193" i="6"/>
  <c r="J193" i="6" s="1"/>
  <c r="E192" i="6"/>
  <c r="H192" i="6"/>
  <c r="J192" i="6" s="1"/>
  <c r="E191" i="6"/>
  <c r="H191" i="6"/>
  <c r="J191" i="6" s="1"/>
  <c r="E190" i="6"/>
  <c r="H190" i="6"/>
  <c r="J190" i="6" s="1"/>
  <c r="E189" i="6"/>
  <c r="H189" i="6"/>
  <c r="J189" i="6" s="1"/>
  <c r="E188" i="6"/>
  <c r="H188" i="6"/>
  <c r="J188" i="6" s="1"/>
  <c r="E187" i="6"/>
  <c r="H187" i="6"/>
  <c r="J187" i="6" s="1"/>
  <c r="E186" i="6"/>
  <c r="H186" i="6"/>
  <c r="J186" i="6" s="1"/>
  <c r="E185" i="6"/>
  <c r="H185" i="6"/>
  <c r="J185" i="6" s="1"/>
  <c r="E184" i="6"/>
  <c r="H184" i="6"/>
  <c r="J184" i="6" s="1"/>
  <c r="E183" i="6"/>
  <c r="H183" i="6"/>
  <c r="J183" i="6" s="1"/>
  <c r="E182" i="6"/>
  <c r="H182" i="6"/>
  <c r="J182" i="6" s="1"/>
  <c r="E181" i="6"/>
  <c r="H181" i="6"/>
  <c r="J181" i="6" s="1"/>
  <c r="E180" i="6"/>
  <c r="H180" i="6"/>
  <c r="J180" i="6" s="1"/>
  <c r="E179" i="6"/>
  <c r="H179" i="6"/>
  <c r="J179" i="6" s="1"/>
  <c r="E178" i="6"/>
  <c r="H178" i="6"/>
  <c r="J178" i="6" s="1"/>
  <c r="E177" i="6"/>
  <c r="H177" i="6"/>
  <c r="J177" i="6" s="1"/>
  <c r="E176" i="6"/>
  <c r="H176" i="6"/>
  <c r="J176" i="6" s="1"/>
  <c r="E175" i="6"/>
  <c r="H175" i="6"/>
  <c r="J175" i="6" s="1"/>
  <c r="E174" i="6"/>
  <c r="H174" i="6"/>
  <c r="J174" i="6" s="1"/>
  <c r="E173" i="6"/>
  <c r="H173" i="6"/>
  <c r="J173" i="6" s="1"/>
  <c r="E172" i="6"/>
  <c r="H172" i="6"/>
  <c r="J172" i="6" s="1"/>
  <c r="E171" i="6"/>
  <c r="H171" i="6"/>
  <c r="J171" i="6" s="1"/>
  <c r="E170" i="6"/>
  <c r="H170" i="6"/>
  <c r="J170" i="6" s="1"/>
  <c r="E169" i="6"/>
  <c r="H169" i="6"/>
  <c r="J169" i="6" s="1"/>
  <c r="E168" i="6"/>
  <c r="H168" i="6"/>
  <c r="J168" i="6" s="1"/>
  <c r="E166" i="6"/>
  <c r="H166" i="6"/>
  <c r="J166" i="6" s="1"/>
  <c r="E165" i="6"/>
  <c r="H165" i="6"/>
  <c r="J165" i="6" s="1"/>
  <c r="E164" i="6"/>
  <c r="H164" i="6"/>
  <c r="J164" i="6" s="1"/>
  <c r="E163" i="6"/>
  <c r="H163" i="6"/>
  <c r="J163" i="6" s="1"/>
  <c r="E162" i="6"/>
  <c r="H162" i="6"/>
  <c r="J162" i="6" s="1"/>
  <c r="E161" i="6"/>
  <c r="H161" i="6"/>
  <c r="J161" i="6" s="1"/>
  <c r="E160" i="6"/>
  <c r="H160" i="6"/>
  <c r="J160" i="6" s="1"/>
  <c r="E159" i="6"/>
  <c r="H159" i="6"/>
  <c r="J159" i="6" s="1"/>
  <c r="E158" i="6"/>
  <c r="H158" i="6"/>
  <c r="J158" i="6" s="1"/>
  <c r="E157" i="6"/>
  <c r="H157" i="6"/>
  <c r="J157" i="6" s="1"/>
  <c r="E156" i="6"/>
  <c r="H156" i="6"/>
  <c r="J156" i="6" s="1"/>
  <c r="E155" i="6"/>
  <c r="H155" i="6"/>
  <c r="J155" i="6" s="1"/>
  <c r="E154" i="6"/>
  <c r="H154" i="6"/>
  <c r="J154" i="6" s="1"/>
  <c r="E153" i="6"/>
  <c r="H153" i="6"/>
  <c r="J153" i="6" s="1"/>
  <c r="E152" i="6"/>
  <c r="H152" i="6"/>
  <c r="J152" i="6" s="1"/>
  <c r="E151" i="6"/>
  <c r="H151" i="6"/>
  <c r="J151" i="6" s="1"/>
  <c r="E150" i="6"/>
  <c r="H150" i="6"/>
  <c r="J150" i="6" s="1"/>
  <c r="E149" i="6"/>
  <c r="H149" i="6"/>
  <c r="J149" i="6" s="1"/>
  <c r="E148" i="6"/>
  <c r="H148" i="6"/>
  <c r="J148" i="6" s="1"/>
  <c r="E147" i="6"/>
  <c r="H147" i="6"/>
  <c r="J147" i="6" s="1"/>
  <c r="E146" i="6"/>
  <c r="H146" i="6"/>
  <c r="J146" i="6" s="1"/>
  <c r="E145" i="6"/>
  <c r="H145" i="6"/>
  <c r="J145" i="6" s="1"/>
  <c r="E144" i="6"/>
  <c r="H144" i="6"/>
  <c r="J144" i="6" s="1"/>
  <c r="E143" i="6"/>
  <c r="H143" i="6"/>
  <c r="J143" i="6" s="1"/>
  <c r="E142" i="6"/>
  <c r="H142" i="6"/>
  <c r="J142" i="6" s="1"/>
  <c r="E141" i="6"/>
  <c r="H141" i="6"/>
  <c r="J141" i="6" s="1"/>
  <c r="E140" i="6"/>
  <c r="H140" i="6"/>
  <c r="J140" i="6" s="1"/>
  <c r="E139" i="6"/>
  <c r="H139" i="6"/>
  <c r="J139" i="6" s="1"/>
  <c r="E138" i="6"/>
  <c r="H138" i="6"/>
  <c r="J138" i="6" s="1"/>
  <c r="E137" i="6"/>
  <c r="H137" i="6"/>
  <c r="J137" i="6" s="1"/>
  <c r="E136" i="6"/>
  <c r="H136" i="6"/>
  <c r="J136" i="6" s="1"/>
  <c r="E135" i="6"/>
  <c r="H135" i="6"/>
  <c r="J135" i="6" s="1"/>
  <c r="E134" i="6"/>
  <c r="H134" i="6"/>
  <c r="J134" i="6" s="1"/>
  <c r="E133" i="6"/>
  <c r="H133" i="6"/>
  <c r="J133" i="6" s="1"/>
  <c r="E132" i="6"/>
  <c r="H132" i="6"/>
  <c r="J132" i="6" s="1"/>
  <c r="E131" i="6"/>
  <c r="H131" i="6"/>
  <c r="J131" i="6" s="1"/>
  <c r="E130" i="6"/>
  <c r="H130" i="6"/>
  <c r="J130" i="6" s="1"/>
  <c r="E129" i="6"/>
  <c r="H129" i="6"/>
  <c r="J129" i="6" s="1"/>
  <c r="E128" i="6"/>
  <c r="H128" i="6"/>
  <c r="J128" i="6" s="1"/>
  <c r="E127" i="6"/>
  <c r="H127" i="6"/>
  <c r="J127" i="6" s="1"/>
  <c r="E126" i="6"/>
  <c r="H126" i="6"/>
  <c r="J126" i="6" s="1"/>
  <c r="E125" i="6"/>
  <c r="H125" i="6"/>
  <c r="J125" i="6" s="1"/>
  <c r="E124" i="6"/>
  <c r="H124" i="6"/>
  <c r="J124" i="6" s="1"/>
  <c r="E123" i="6"/>
  <c r="H123" i="6"/>
  <c r="J123" i="6" s="1"/>
  <c r="E122" i="6"/>
  <c r="H122" i="6"/>
  <c r="J122" i="6" s="1"/>
  <c r="E121" i="6"/>
  <c r="H121" i="6"/>
  <c r="J121" i="6" s="1"/>
  <c r="E120" i="6"/>
  <c r="H120" i="6"/>
  <c r="J120" i="6" s="1"/>
  <c r="E119" i="6"/>
  <c r="H119" i="6"/>
  <c r="J119" i="6" s="1"/>
  <c r="E118" i="6"/>
  <c r="H118" i="6"/>
  <c r="J118" i="6" s="1"/>
  <c r="E117" i="6"/>
  <c r="H117" i="6"/>
  <c r="J117" i="6" s="1"/>
  <c r="E116" i="6"/>
  <c r="H116" i="6"/>
  <c r="J116" i="6" s="1"/>
  <c r="E115" i="6"/>
  <c r="H115" i="6"/>
  <c r="J115" i="6" s="1"/>
  <c r="E114" i="6"/>
  <c r="H114" i="6"/>
  <c r="J114" i="6" s="1"/>
  <c r="E113" i="6"/>
  <c r="H113" i="6"/>
  <c r="J113" i="6" s="1"/>
  <c r="E112" i="6"/>
  <c r="H112" i="6"/>
  <c r="J112" i="6" s="1"/>
  <c r="E111" i="6"/>
  <c r="H111" i="6"/>
  <c r="J111" i="6" s="1"/>
  <c r="E110" i="6"/>
  <c r="H110" i="6"/>
  <c r="J110" i="6" s="1"/>
  <c r="E109" i="6"/>
  <c r="H109" i="6"/>
  <c r="J109" i="6" s="1"/>
  <c r="E108" i="6"/>
  <c r="H108" i="6"/>
  <c r="J108" i="6" s="1"/>
  <c r="E107" i="6"/>
  <c r="H107" i="6"/>
  <c r="J107" i="6" s="1"/>
  <c r="E106" i="6"/>
  <c r="H106" i="6"/>
  <c r="J106" i="6" s="1"/>
  <c r="E105" i="6"/>
  <c r="H105" i="6"/>
  <c r="J105" i="6" s="1"/>
  <c r="E104" i="6"/>
  <c r="H104" i="6"/>
  <c r="J104" i="6" s="1"/>
  <c r="E103" i="6"/>
  <c r="H103" i="6"/>
  <c r="J103" i="6" s="1"/>
  <c r="E102" i="6"/>
  <c r="H102" i="6"/>
  <c r="J102" i="6" s="1"/>
  <c r="E101" i="6"/>
  <c r="H101" i="6"/>
  <c r="J101" i="6" s="1"/>
  <c r="E100" i="6"/>
  <c r="H100" i="6"/>
  <c r="J100" i="6" s="1"/>
  <c r="H99" i="6"/>
  <c r="J99" i="6" s="1"/>
  <c r="E99" i="6"/>
  <c r="E98" i="6"/>
  <c r="H98" i="6"/>
  <c r="J98" i="6" s="1"/>
  <c r="E97" i="6"/>
  <c r="H97" i="6"/>
  <c r="J97" i="6" s="1"/>
  <c r="E96" i="6"/>
  <c r="H96" i="6"/>
  <c r="J96" i="6" s="1"/>
  <c r="E95" i="6"/>
  <c r="H95" i="6"/>
  <c r="J95" i="6" s="1"/>
  <c r="E94" i="6"/>
  <c r="H94" i="6"/>
  <c r="J94" i="6" s="1"/>
  <c r="E93" i="6"/>
  <c r="H93" i="6"/>
  <c r="J93" i="6" s="1"/>
  <c r="E92" i="6"/>
  <c r="H92" i="6"/>
  <c r="J92" i="6" s="1"/>
  <c r="E91" i="6"/>
  <c r="H91" i="6"/>
  <c r="J91" i="6" s="1"/>
  <c r="E90" i="6"/>
  <c r="H90" i="6"/>
  <c r="J90" i="6" s="1"/>
  <c r="E89" i="6"/>
  <c r="H89" i="6"/>
  <c r="J89" i="6" s="1"/>
  <c r="E88" i="6"/>
  <c r="H88" i="6"/>
  <c r="J88" i="6" s="1"/>
  <c r="E87" i="6"/>
  <c r="H87" i="6"/>
  <c r="J87" i="6" s="1"/>
  <c r="E86" i="6"/>
  <c r="H86" i="6"/>
  <c r="J86" i="6" s="1"/>
  <c r="E85" i="6"/>
  <c r="H85" i="6"/>
  <c r="J85" i="6" s="1"/>
  <c r="E84" i="6"/>
  <c r="H84" i="6"/>
  <c r="J84" i="6" s="1"/>
  <c r="E83" i="6"/>
  <c r="H83" i="6"/>
  <c r="J83" i="6" s="1"/>
  <c r="E82" i="6"/>
  <c r="H82" i="6"/>
  <c r="J82" i="6" s="1"/>
  <c r="E81" i="6"/>
  <c r="H81" i="6"/>
  <c r="J81" i="6" s="1"/>
  <c r="E80" i="6"/>
  <c r="H80" i="6"/>
  <c r="J80" i="6" s="1"/>
  <c r="E79" i="6"/>
  <c r="H79" i="6"/>
  <c r="J79" i="6" s="1"/>
  <c r="E78" i="6"/>
  <c r="H78" i="6"/>
  <c r="J78" i="6" s="1"/>
  <c r="E77" i="6"/>
  <c r="H77" i="6"/>
  <c r="J77" i="6" s="1"/>
  <c r="E76" i="6"/>
  <c r="H76" i="6"/>
  <c r="J76" i="6" s="1"/>
  <c r="E75" i="6"/>
  <c r="H75" i="6"/>
  <c r="J75" i="6" s="1"/>
  <c r="E74" i="6"/>
  <c r="H74" i="6"/>
  <c r="J74" i="6" s="1"/>
  <c r="E73" i="6"/>
  <c r="H73" i="6"/>
  <c r="J73" i="6" s="1"/>
  <c r="E72" i="6"/>
  <c r="H72" i="6"/>
  <c r="J72" i="6" s="1"/>
  <c r="E71" i="6"/>
  <c r="H71" i="6"/>
  <c r="J71" i="6" s="1"/>
  <c r="E70" i="6"/>
  <c r="H70" i="6"/>
  <c r="J70" i="6" s="1"/>
  <c r="E69" i="6"/>
  <c r="H69" i="6"/>
  <c r="J69" i="6" s="1"/>
  <c r="E68" i="6"/>
  <c r="H68" i="6"/>
  <c r="J68" i="6" s="1"/>
  <c r="E67" i="6"/>
  <c r="H67" i="6"/>
  <c r="J67" i="6" s="1"/>
  <c r="E66" i="6"/>
  <c r="H66" i="6"/>
  <c r="J66" i="6" s="1"/>
  <c r="E65" i="6"/>
  <c r="H65" i="6"/>
  <c r="J65" i="6" s="1"/>
  <c r="E64" i="6"/>
  <c r="H64" i="6"/>
  <c r="J64" i="6" s="1"/>
  <c r="E63" i="6"/>
  <c r="H63" i="6"/>
  <c r="J63" i="6" s="1"/>
  <c r="E62" i="6"/>
  <c r="H62" i="6"/>
  <c r="J62" i="6" s="1"/>
  <c r="E61" i="6"/>
  <c r="H61" i="6"/>
  <c r="J61" i="6" s="1"/>
  <c r="E60" i="6"/>
  <c r="H60" i="6"/>
  <c r="J60" i="6" s="1"/>
  <c r="E59" i="6"/>
  <c r="H59" i="6"/>
  <c r="J59" i="6" s="1"/>
  <c r="E58" i="6"/>
  <c r="H58" i="6"/>
  <c r="J58" i="6" s="1"/>
  <c r="E57" i="6"/>
  <c r="H57" i="6"/>
  <c r="J57" i="6" s="1"/>
  <c r="E56" i="6"/>
  <c r="H56" i="6"/>
  <c r="J56" i="6" s="1"/>
  <c r="E55" i="6"/>
  <c r="H55" i="6"/>
  <c r="J55" i="6" s="1"/>
  <c r="E54" i="6"/>
  <c r="H54" i="6"/>
  <c r="J54" i="6" s="1"/>
  <c r="E53" i="6"/>
  <c r="H53" i="6"/>
  <c r="J53" i="6" s="1"/>
  <c r="E52" i="6"/>
  <c r="H52" i="6"/>
  <c r="J52" i="6" s="1"/>
  <c r="E51" i="6"/>
  <c r="H51" i="6"/>
  <c r="J51" i="6" s="1"/>
  <c r="E50" i="6"/>
  <c r="H50" i="6"/>
  <c r="J50" i="6" s="1"/>
  <c r="E49" i="6"/>
  <c r="H49" i="6"/>
  <c r="J49" i="6" s="1"/>
  <c r="E48" i="6"/>
  <c r="H48" i="6"/>
  <c r="J48" i="6" s="1"/>
  <c r="E46" i="6"/>
  <c r="H46" i="6"/>
  <c r="J46" i="6" s="1"/>
  <c r="E45" i="6"/>
  <c r="H45" i="6"/>
  <c r="J45" i="6" s="1"/>
  <c r="E44" i="6"/>
  <c r="H44" i="6"/>
  <c r="J44" i="6" s="1"/>
  <c r="E43" i="6"/>
  <c r="H43" i="6"/>
  <c r="J43" i="6" s="1"/>
  <c r="E42" i="6"/>
  <c r="H42" i="6"/>
  <c r="J42" i="6" s="1"/>
  <c r="E41" i="6"/>
  <c r="H41" i="6"/>
  <c r="J41" i="6" s="1"/>
  <c r="E40" i="6"/>
  <c r="H40" i="6"/>
  <c r="J40" i="6" s="1"/>
  <c r="E39" i="6"/>
  <c r="H39" i="6"/>
  <c r="J39" i="6" s="1"/>
  <c r="E38" i="6"/>
  <c r="H38" i="6"/>
  <c r="J38" i="6" s="1"/>
  <c r="E37" i="6"/>
  <c r="H37" i="6"/>
  <c r="J37" i="6" s="1"/>
  <c r="E36" i="6"/>
  <c r="H36" i="6"/>
  <c r="J36" i="6" s="1"/>
  <c r="E35" i="6"/>
  <c r="H35" i="6"/>
  <c r="J35" i="6" s="1"/>
  <c r="E34" i="6"/>
  <c r="H34" i="6"/>
  <c r="J34" i="6" s="1"/>
  <c r="E33" i="6"/>
  <c r="H33" i="6"/>
  <c r="J33" i="6" s="1"/>
  <c r="E32" i="6"/>
  <c r="H32" i="6"/>
  <c r="J32" i="6" s="1"/>
  <c r="E31" i="6"/>
  <c r="H31" i="6"/>
  <c r="J31" i="6" s="1"/>
  <c r="E30" i="6"/>
  <c r="H30" i="6"/>
  <c r="J30" i="6" s="1"/>
  <c r="E29" i="6"/>
  <c r="H29" i="6"/>
  <c r="J29" i="6" s="1"/>
  <c r="E28" i="6"/>
  <c r="H28" i="6"/>
  <c r="J28" i="6" s="1"/>
  <c r="H27" i="6"/>
  <c r="J27" i="6" s="1"/>
  <c r="E27" i="6"/>
  <c r="E26" i="6"/>
  <c r="H26" i="6"/>
  <c r="J26" i="6" s="1"/>
  <c r="H25" i="6"/>
  <c r="J25" i="6" s="1"/>
  <c r="E25" i="6"/>
  <c r="E24" i="6"/>
  <c r="H24" i="6"/>
  <c r="J24" i="6" s="1"/>
  <c r="H23" i="6"/>
  <c r="J23" i="6" s="1"/>
  <c r="E23" i="6"/>
  <c r="E22" i="6"/>
  <c r="H22" i="6"/>
  <c r="J22" i="6" s="1"/>
  <c r="E21" i="6"/>
  <c r="H21" i="6"/>
  <c r="J21" i="6" s="1"/>
  <c r="E20" i="6"/>
  <c r="H20" i="6"/>
  <c r="J20" i="6" s="1"/>
  <c r="E19" i="6"/>
  <c r="H19" i="6"/>
  <c r="J19" i="6" s="1"/>
  <c r="E18" i="6"/>
  <c r="H18" i="6"/>
  <c r="J18" i="6" s="1"/>
  <c r="E17" i="6"/>
  <c r="H17" i="6"/>
  <c r="J17" i="6" s="1"/>
  <c r="E16" i="6"/>
  <c r="H16" i="6"/>
  <c r="J16" i="6" s="1"/>
  <c r="E15" i="6"/>
  <c r="H15" i="6"/>
  <c r="J15" i="6" s="1"/>
  <c r="E14" i="6"/>
  <c r="H14" i="6"/>
  <c r="J14" i="6" s="1"/>
  <c r="S9" i="6"/>
  <c r="S7" i="6"/>
  <c r="S6" i="6"/>
  <c r="S8" i="6"/>
  <c r="S10" i="6"/>
  <c r="G243" i="4"/>
  <c r="Q10" i="4"/>
  <c r="T10" i="4"/>
  <c r="U10" i="4"/>
  <c r="R10" i="4"/>
  <c r="P10" i="4"/>
  <c r="O10" i="4"/>
  <c r="O11" i="4" s="1"/>
  <c r="D242" i="4"/>
  <c r="H242" i="4" s="1"/>
  <c r="J242" i="4" s="1"/>
  <c r="S235" i="3"/>
  <c r="D241" i="4"/>
  <c r="H241" i="4" s="1"/>
  <c r="J241" i="4" s="1"/>
  <c r="S234" i="3"/>
  <c r="D240" i="4"/>
  <c r="H240" i="4" s="1"/>
  <c r="J240" i="4" s="1"/>
  <c r="S233" i="3"/>
  <c r="D239" i="4"/>
  <c r="H239" i="4" s="1"/>
  <c r="J239" i="4" s="1"/>
  <c r="S232" i="3"/>
  <c r="D238" i="4"/>
  <c r="H238" i="4" s="1"/>
  <c r="J238" i="4" s="1"/>
  <c r="S231" i="3"/>
  <c r="D237" i="4"/>
  <c r="H237" i="4" s="1"/>
  <c r="J237" i="4" s="1"/>
  <c r="S230" i="3"/>
  <c r="D236" i="4"/>
  <c r="H236" i="4" s="1"/>
  <c r="J236" i="4" s="1"/>
  <c r="S229" i="3"/>
  <c r="S228" i="3"/>
  <c r="D235" i="4"/>
  <c r="H235" i="4" s="1"/>
  <c r="J235" i="4" s="1"/>
  <c r="S227" i="3"/>
  <c r="D234" i="4"/>
  <c r="H234" i="4" s="1"/>
  <c r="J234" i="4" s="1"/>
  <c r="D233" i="4"/>
  <c r="H233" i="4" s="1"/>
  <c r="J233" i="4" s="1"/>
  <c r="S226" i="3"/>
  <c r="D232" i="4"/>
  <c r="H232" i="4" s="1"/>
  <c r="J232" i="4" s="1"/>
  <c r="S225" i="3"/>
  <c r="D231" i="4"/>
  <c r="H231" i="4" s="1"/>
  <c r="J231" i="4" s="1"/>
  <c r="S224" i="3"/>
  <c r="D230" i="4"/>
  <c r="H230" i="4" s="1"/>
  <c r="J230" i="4" s="1"/>
  <c r="S223" i="3"/>
  <c r="S222" i="3"/>
  <c r="D229" i="4"/>
  <c r="H229" i="4" s="1"/>
  <c r="J229" i="4" s="1"/>
  <c r="D228" i="4"/>
  <c r="H228" i="4" s="1"/>
  <c r="J228" i="4" s="1"/>
  <c r="S221" i="3"/>
  <c r="S220" i="3"/>
  <c r="D227" i="4"/>
  <c r="H227" i="4" s="1"/>
  <c r="J227" i="4" s="1"/>
  <c r="S219" i="3"/>
  <c r="D226" i="4"/>
  <c r="H226" i="4" s="1"/>
  <c r="J226" i="4" s="1"/>
  <c r="D225" i="4"/>
  <c r="H225" i="4" s="1"/>
  <c r="J225" i="4" s="1"/>
  <c r="S218" i="3"/>
  <c r="D224" i="4"/>
  <c r="H224" i="4" s="1"/>
  <c r="J224" i="4" s="1"/>
  <c r="S217" i="3"/>
  <c r="D223" i="4"/>
  <c r="H223" i="4" s="1"/>
  <c r="J223" i="4" s="1"/>
  <c r="S216" i="3"/>
  <c r="D222" i="4"/>
  <c r="H222" i="4" s="1"/>
  <c r="J222" i="4" s="1"/>
  <c r="S215" i="3"/>
  <c r="S214" i="3"/>
  <c r="D221" i="4"/>
  <c r="H221" i="4" s="1"/>
  <c r="J221" i="4" s="1"/>
  <c r="S213" i="3"/>
  <c r="D220" i="4"/>
  <c r="H220" i="4" s="1"/>
  <c r="J220" i="4" s="1"/>
  <c r="D219" i="4"/>
  <c r="H219" i="4" s="1"/>
  <c r="J219" i="4" s="1"/>
  <c r="S212" i="3"/>
  <c r="S211" i="3"/>
  <c r="D218" i="4"/>
  <c r="H218" i="4" s="1"/>
  <c r="J218" i="4" s="1"/>
  <c r="D217" i="4"/>
  <c r="H217" i="4" s="1"/>
  <c r="J217" i="4" s="1"/>
  <c r="S210" i="3"/>
  <c r="D216" i="4"/>
  <c r="H216" i="4" s="1"/>
  <c r="J216" i="4" s="1"/>
  <c r="S209" i="3"/>
  <c r="S208" i="3"/>
  <c r="D215" i="4"/>
  <c r="H215" i="4" s="1"/>
  <c r="J215" i="4" s="1"/>
  <c r="D214" i="4"/>
  <c r="H214" i="4" s="1"/>
  <c r="J214" i="4" s="1"/>
  <c r="S207" i="3"/>
  <c r="D213" i="4"/>
  <c r="H213" i="4" s="1"/>
  <c r="J213" i="4" s="1"/>
  <c r="S206" i="3"/>
  <c r="S205" i="3"/>
  <c r="D212" i="4"/>
  <c r="H212" i="4" s="1"/>
  <c r="J212" i="4" s="1"/>
  <c r="S204" i="3"/>
  <c r="D211" i="4"/>
  <c r="H211" i="4" s="1"/>
  <c r="J211" i="4" s="1"/>
  <c r="D210" i="4"/>
  <c r="H210" i="4" s="1"/>
  <c r="J210" i="4" s="1"/>
  <c r="S203" i="3"/>
  <c r="D209" i="4"/>
  <c r="H209" i="4" s="1"/>
  <c r="J209" i="4" s="1"/>
  <c r="S202" i="3"/>
  <c r="S201" i="3"/>
  <c r="D208" i="4"/>
  <c r="H208" i="4" s="1"/>
  <c r="J208" i="4" s="1"/>
  <c r="D207" i="4"/>
  <c r="H207" i="4" s="1"/>
  <c r="J207" i="4" s="1"/>
  <c r="S200" i="3"/>
  <c r="S199" i="3"/>
  <c r="D206" i="4"/>
  <c r="H206" i="4" s="1"/>
  <c r="J206" i="4" s="1"/>
  <c r="S198" i="3"/>
  <c r="D205" i="4"/>
  <c r="H205" i="4" s="1"/>
  <c r="J205" i="4" s="1"/>
  <c r="S197" i="3"/>
  <c r="D204" i="4"/>
  <c r="H204" i="4" s="1"/>
  <c r="J204" i="4" s="1"/>
  <c r="D203" i="4"/>
  <c r="H203" i="4" s="1"/>
  <c r="J203" i="4" s="1"/>
  <c r="S196" i="3"/>
  <c r="S195" i="3"/>
  <c r="D202" i="4"/>
  <c r="H202" i="4" s="1"/>
  <c r="J202" i="4" s="1"/>
  <c r="D201" i="4"/>
  <c r="H201" i="4" s="1"/>
  <c r="J201" i="4" s="1"/>
  <c r="S194" i="3"/>
  <c r="D200" i="4"/>
  <c r="H200" i="4" s="1"/>
  <c r="J200" i="4" s="1"/>
  <c r="S193" i="3"/>
  <c r="D199" i="4"/>
  <c r="H199" i="4" s="1"/>
  <c r="J199" i="4" s="1"/>
  <c r="S192" i="3"/>
  <c r="S191" i="3"/>
  <c r="D198" i="4"/>
  <c r="H198" i="4" s="1"/>
  <c r="J198" i="4" s="1"/>
  <c r="S190" i="3"/>
  <c r="D197" i="4"/>
  <c r="H197" i="4" s="1"/>
  <c r="J197" i="4" s="1"/>
  <c r="D196" i="4"/>
  <c r="H196" i="4" s="1"/>
  <c r="J196" i="4" s="1"/>
  <c r="S189" i="3"/>
  <c r="D195" i="4"/>
  <c r="H195" i="4" s="1"/>
  <c r="J195" i="4" s="1"/>
  <c r="S188" i="3"/>
  <c r="D194" i="4"/>
  <c r="H194" i="4" s="1"/>
  <c r="J194" i="4" s="1"/>
  <c r="S187" i="3"/>
  <c r="D193" i="4"/>
  <c r="H193" i="4" s="1"/>
  <c r="J193" i="4" s="1"/>
  <c r="S186" i="3"/>
  <c r="D192" i="4"/>
  <c r="H192" i="4" s="1"/>
  <c r="J192" i="4" s="1"/>
  <c r="S185" i="3"/>
  <c r="D191" i="4"/>
  <c r="H191" i="4" s="1"/>
  <c r="J191" i="4" s="1"/>
  <c r="S184" i="3"/>
  <c r="S183" i="3"/>
  <c r="D190" i="4"/>
  <c r="H190" i="4" s="1"/>
  <c r="J190" i="4" s="1"/>
  <c r="D189" i="4"/>
  <c r="H189" i="4" s="1"/>
  <c r="J189" i="4" s="1"/>
  <c r="S182" i="3"/>
  <c r="S181" i="3"/>
  <c r="D188" i="4"/>
  <c r="H188" i="4" s="1"/>
  <c r="J188" i="4" s="1"/>
  <c r="D187" i="4"/>
  <c r="H187" i="4" s="1"/>
  <c r="J187" i="4" s="1"/>
  <c r="S180" i="3"/>
  <c r="S179" i="3"/>
  <c r="D186" i="4"/>
  <c r="H186" i="4" s="1"/>
  <c r="J186" i="4" s="1"/>
  <c r="S178" i="3"/>
  <c r="D185" i="4"/>
  <c r="H185" i="4" s="1"/>
  <c r="J185" i="4" s="1"/>
  <c r="S177" i="3"/>
  <c r="D184" i="4"/>
  <c r="H184" i="4" s="1"/>
  <c r="J184" i="4" s="1"/>
  <c r="S176" i="3"/>
  <c r="D183" i="4"/>
  <c r="H183" i="4" s="1"/>
  <c r="J183" i="4" s="1"/>
  <c r="S175" i="3"/>
  <c r="D182" i="4"/>
  <c r="H182" i="4" s="1"/>
  <c r="J182" i="4" s="1"/>
  <c r="S174" i="3"/>
  <c r="D181" i="4"/>
  <c r="H181" i="4" s="1"/>
  <c r="J181" i="4" s="1"/>
  <c r="S173" i="3"/>
  <c r="D180" i="4"/>
  <c r="H180" i="4" s="1"/>
  <c r="J180" i="4" s="1"/>
  <c r="S172" i="3"/>
  <c r="D179" i="4"/>
  <c r="H179" i="4" s="1"/>
  <c r="J179" i="4" s="1"/>
  <c r="D178" i="4"/>
  <c r="H178" i="4" s="1"/>
  <c r="J178" i="4" s="1"/>
  <c r="S171" i="3"/>
  <c r="D177" i="4"/>
  <c r="H177" i="4" s="1"/>
  <c r="J177" i="4" s="1"/>
  <c r="S170" i="3"/>
  <c r="S169" i="3"/>
  <c r="D176" i="4"/>
  <c r="H176" i="4" s="1"/>
  <c r="J176" i="4" s="1"/>
  <c r="D175" i="4"/>
  <c r="H175" i="4" s="1"/>
  <c r="J175" i="4" s="1"/>
  <c r="S168" i="3"/>
  <c r="S167" i="3"/>
  <c r="D174" i="4"/>
  <c r="H174" i="4" s="1"/>
  <c r="J174" i="4" s="1"/>
  <c r="S166" i="3"/>
  <c r="D173" i="4"/>
  <c r="H173" i="4" s="1"/>
  <c r="J173" i="4" s="1"/>
  <c r="D172" i="4"/>
  <c r="H172" i="4" s="1"/>
  <c r="J172" i="4" s="1"/>
  <c r="S165" i="3"/>
  <c r="S164" i="3"/>
  <c r="D171" i="4"/>
  <c r="H171" i="4" s="1"/>
  <c r="J171" i="4" s="1"/>
  <c r="D170" i="4"/>
  <c r="H170" i="4" s="1"/>
  <c r="J170" i="4" s="1"/>
  <c r="S163" i="3"/>
  <c r="S162" i="3"/>
  <c r="D169" i="4"/>
  <c r="H169" i="4" s="1"/>
  <c r="J169" i="4" s="1"/>
  <c r="D168" i="4"/>
  <c r="H168" i="4" s="1"/>
  <c r="J168" i="4" s="1"/>
  <c r="S161" i="3"/>
  <c r="D167" i="4"/>
  <c r="H167" i="4" s="1"/>
  <c r="J167" i="4" s="1"/>
  <c r="S160" i="3"/>
  <c r="S159" i="3"/>
  <c r="D166" i="4"/>
  <c r="H166" i="4" s="1"/>
  <c r="J166" i="4" s="1"/>
  <c r="S158" i="3"/>
  <c r="D165" i="4"/>
  <c r="H165" i="4" s="1"/>
  <c r="J165" i="4" s="1"/>
  <c r="D164" i="4"/>
  <c r="H164" i="4" s="1"/>
  <c r="J164" i="4" s="1"/>
  <c r="S157" i="3"/>
  <c r="S156" i="3"/>
  <c r="D163" i="4"/>
  <c r="H163" i="4" s="1"/>
  <c r="J163" i="4" s="1"/>
  <c r="D162" i="4"/>
  <c r="H162" i="4" s="1"/>
  <c r="J162" i="4" s="1"/>
  <c r="S155" i="3"/>
  <c r="S154" i="3"/>
  <c r="D161" i="4"/>
  <c r="H161" i="4" s="1"/>
  <c r="J161" i="4" s="1"/>
  <c r="S153" i="3"/>
  <c r="D160" i="4"/>
  <c r="H160" i="4" s="1"/>
  <c r="J160" i="4" s="1"/>
  <c r="S152" i="3"/>
  <c r="D159" i="4"/>
  <c r="H159" i="4" s="1"/>
  <c r="J159" i="4" s="1"/>
  <c r="S151" i="3"/>
  <c r="D158" i="4"/>
  <c r="H158" i="4" s="1"/>
  <c r="J158" i="4" s="1"/>
  <c r="S150" i="3"/>
  <c r="D157" i="4"/>
  <c r="H157" i="4" s="1"/>
  <c r="J157" i="4" s="1"/>
  <c r="S149" i="3"/>
  <c r="D156" i="4"/>
  <c r="H156" i="4" s="1"/>
  <c r="J156" i="4" s="1"/>
  <c r="D155" i="4"/>
  <c r="H155" i="4" s="1"/>
  <c r="J155" i="4" s="1"/>
  <c r="S148" i="3"/>
  <c r="D154" i="4"/>
  <c r="H154" i="4" s="1"/>
  <c r="J154" i="4" s="1"/>
  <c r="S147" i="3"/>
  <c r="D153" i="4"/>
  <c r="H153" i="4" s="1"/>
  <c r="J153" i="4" s="1"/>
  <c r="S146" i="3"/>
  <c r="S145" i="3"/>
  <c r="D152" i="4"/>
  <c r="H152" i="4" s="1"/>
  <c r="J152" i="4" s="1"/>
  <c r="S144" i="3"/>
  <c r="D151" i="4"/>
  <c r="H151" i="4" s="1"/>
  <c r="J151" i="4" s="1"/>
  <c r="D150" i="4"/>
  <c r="H150" i="4" s="1"/>
  <c r="J150" i="4" s="1"/>
  <c r="S143" i="3"/>
  <c r="D149" i="4"/>
  <c r="H149" i="4" s="1"/>
  <c r="J149" i="4" s="1"/>
  <c r="S142" i="3"/>
  <c r="S141" i="3"/>
  <c r="D148" i="4"/>
  <c r="H148" i="4" s="1"/>
  <c r="J148" i="4" s="1"/>
  <c r="S140" i="3"/>
  <c r="D147" i="4"/>
  <c r="H147" i="4" s="1"/>
  <c r="J147" i="4" s="1"/>
  <c r="D146" i="4"/>
  <c r="H146" i="4" s="1"/>
  <c r="J146" i="4" s="1"/>
  <c r="S139" i="3"/>
  <c r="D145" i="4"/>
  <c r="H145" i="4" s="1"/>
  <c r="J145" i="4" s="1"/>
  <c r="S138" i="3"/>
  <c r="S137" i="3"/>
  <c r="D144" i="4"/>
  <c r="H144" i="4" s="1"/>
  <c r="J144" i="4" s="1"/>
  <c r="D143" i="4"/>
  <c r="H143" i="4" s="1"/>
  <c r="J143" i="4" s="1"/>
  <c r="S136" i="3"/>
  <c r="S135" i="3"/>
  <c r="D142" i="4"/>
  <c r="H142" i="4" s="1"/>
  <c r="J142" i="4" s="1"/>
  <c r="D141" i="4"/>
  <c r="H141" i="4" s="1"/>
  <c r="J141" i="4" s="1"/>
  <c r="S134" i="3"/>
  <c r="D140" i="4"/>
  <c r="H140" i="4" s="1"/>
  <c r="J140" i="4" s="1"/>
  <c r="S133" i="3"/>
  <c r="D139" i="4"/>
  <c r="H139" i="4" s="1"/>
  <c r="J139" i="4" s="1"/>
  <c r="S132" i="3"/>
  <c r="S131" i="3"/>
  <c r="D138" i="4"/>
  <c r="H138" i="4" s="1"/>
  <c r="J138" i="4" s="1"/>
  <c r="S130" i="3"/>
  <c r="D137" i="4"/>
  <c r="H137" i="4" s="1"/>
  <c r="J137" i="4" s="1"/>
  <c r="D136" i="4"/>
  <c r="H136" i="4" s="1"/>
  <c r="J136" i="4" s="1"/>
  <c r="S129" i="3"/>
  <c r="S128" i="3"/>
  <c r="D135" i="4"/>
  <c r="H135" i="4" s="1"/>
  <c r="J135" i="4" s="1"/>
  <c r="D134" i="4"/>
  <c r="H134" i="4" s="1"/>
  <c r="J134" i="4" s="1"/>
  <c r="S127" i="3"/>
  <c r="S126" i="3"/>
  <c r="D133" i="4"/>
  <c r="H133" i="4" s="1"/>
  <c r="J133" i="4" s="1"/>
  <c r="D132" i="4"/>
  <c r="H132" i="4" s="1"/>
  <c r="J132" i="4" s="1"/>
  <c r="S125" i="3"/>
  <c r="S124" i="3"/>
  <c r="D131" i="4"/>
  <c r="H131" i="4" s="1"/>
  <c r="J131" i="4" s="1"/>
  <c r="D130" i="4"/>
  <c r="H130" i="4" s="1"/>
  <c r="J130" i="4" s="1"/>
  <c r="S123" i="3"/>
  <c r="S122" i="3"/>
  <c r="D129" i="4"/>
  <c r="H129" i="4" s="1"/>
  <c r="J129" i="4" s="1"/>
  <c r="S121" i="3"/>
  <c r="D128" i="4"/>
  <c r="H128" i="4" s="1"/>
  <c r="J128" i="4" s="1"/>
  <c r="D127" i="4"/>
  <c r="H127" i="4" s="1"/>
  <c r="J127" i="4" s="1"/>
  <c r="S120" i="3"/>
  <c r="D125" i="4"/>
  <c r="H125" i="4" s="1"/>
  <c r="J125" i="4" s="1"/>
  <c r="S118" i="3"/>
  <c r="D124" i="4"/>
  <c r="H124" i="4" s="1"/>
  <c r="J124" i="4" s="1"/>
  <c r="S117" i="3"/>
  <c r="D123" i="4"/>
  <c r="H123" i="4" s="1"/>
  <c r="J123" i="4" s="1"/>
  <c r="S116" i="3"/>
  <c r="D122" i="4"/>
  <c r="H122" i="4" s="1"/>
  <c r="J122" i="4" s="1"/>
  <c r="S115" i="3"/>
  <c r="D121" i="4"/>
  <c r="H121" i="4" s="1"/>
  <c r="J121" i="4" s="1"/>
  <c r="S114" i="3"/>
  <c r="D120" i="4"/>
  <c r="H120" i="4" s="1"/>
  <c r="J120" i="4" s="1"/>
  <c r="S113" i="3"/>
  <c r="D119" i="4"/>
  <c r="H119" i="4" s="1"/>
  <c r="J119" i="4" s="1"/>
  <c r="S112" i="3"/>
  <c r="S111" i="3"/>
  <c r="D118" i="4"/>
  <c r="H118" i="4" s="1"/>
  <c r="J118" i="4" s="1"/>
  <c r="D117" i="4"/>
  <c r="H117" i="4" s="1"/>
  <c r="J117" i="4" s="1"/>
  <c r="S110" i="3"/>
  <c r="D116" i="4"/>
  <c r="H116" i="4" s="1"/>
  <c r="J116" i="4" s="1"/>
  <c r="S109" i="3"/>
  <c r="S108" i="3"/>
  <c r="D115" i="4"/>
  <c r="H115" i="4" s="1"/>
  <c r="J115" i="4" s="1"/>
  <c r="D114" i="4"/>
  <c r="H114" i="4" s="1"/>
  <c r="J114" i="4" s="1"/>
  <c r="S107" i="3"/>
  <c r="S106" i="3"/>
  <c r="D113" i="4"/>
  <c r="H113" i="4" s="1"/>
  <c r="J113" i="4" s="1"/>
  <c r="D112" i="4"/>
  <c r="H112" i="4" s="1"/>
  <c r="J112" i="4" s="1"/>
  <c r="S105" i="3"/>
  <c r="D111" i="4"/>
  <c r="H111" i="4" s="1"/>
  <c r="J111" i="4" s="1"/>
  <c r="S104" i="3"/>
  <c r="S103" i="3"/>
  <c r="D110" i="4"/>
  <c r="H110" i="4" s="1"/>
  <c r="J110" i="4" s="1"/>
  <c r="S102" i="3"/>
  <c r="D109" i="4"/>
  <c r="H109" i="4" s="1"/>
  <c r="J109" i="4" s="1"/>
  <c r="D108" i="4"/>
  <c r="H108" i="4" s="1"/>
  <c r="J108" i="4" s="1"/>
  <c r="S101" i="3"/>
  <c r="D107" i="4"/>
  <c r="H107" i="4" s="1"/>
  <c r="J107" i="4" s="1"/>
  <c r="S100" i="3"/>
  <c r="S99" i="3"/>
  <c r="D106" i="4"/>
  <c r="H106" i="4" s="1"/>
  <c r="J106" i="4" s="1"/>
  <c r="S98" i="3"/>
  <c r="D105" i="4"/>
  <c r="H105" i="4" s="1"/>
  <c r="J105" i="4" s="1"/>
  <c r="D104" i="4"/>
  <c r="H104" i="4" s="1"/>
  <c r="J104" i="4" s="1"/>
  <c r="S97" i="3"/>
  <c r="D103" i="4"/>
  <c r="H103" i="4" s="1"/>
  <c r="J103" i="4" s="1"/>
  <c r="S96" i="3"/>
  <c r="D102" i="4"/>
  <c r="H102" i="4" s="1"/>
  <c r="J102" i="4" s="1"/>
  <c r="S95" i="3"/>
  <c r="S94" i="3"/>
  <c r="D101" i="4"/>
  <c r="H101" i="4" s="1"/>
  <c r="J101" i="4" s="1"/>
  <c r="S93" i="3"/>
  <c r="D100" i="4"/>
  <c r="H100" i="4" s="1"/>
  <c r="J100" i="4" s="1"/>
  <c r="D99" i="4"/>
  <c r="H99" i="4" s="1"/>
  <c r="J99" i="4" s="1"/>
  <c r="S92" i="3"/>
  <c r="S91" i="3"/>
  <c r="D98" i="4"/>
  <c r="H98" i="4" s="1"/>
  <c r="J98" i="4" s="1"/>
  <c r="S90" i="3"/>
  <c r="D97" i="4"/>
  <c r="H97" i="4" s="1"/>
  <c r="J97" i="4" s="1"/>
  <c r="S89" i="3"/>
  <c r="D96" i="4"/>
  <c r="H96" i="4" s="1"/>
  <c r="J96" i="4" s="1"/>
  <c r="S88" i="3"/>
  <c r="D95" i="4"/>
  <c r="H95" i="4" s="1"/>
  <c r="J95" i="4" s="1"/>
  <c r="D94" i="4"/>
  <c r="H94" i="4" s="1"/>
  <c r="J94" i="4" s="1"/>
  <c r="S87" i="3"/>
  <c r="S86" i="3"/>
  <c r="D93" i="4"/>
  <c r="H93" i="4" s="1"/>
  <c r="J93" i="4" s="1"/>
  <c r="S85" i="3"/>
  <c r="D92" i="4"/>
  <c r="H92" i="4" s="1"/>
  <c r="J92" i="4" s="1"/>
  <c r="S84" i="3"/>
  <c r="D91" i="4"/>
  <c r="H91" i="4" s="1"/>
  <c r="J91" i="4" s="1"/>
  <c r="S83" i="3"/>
  <c r="D90" i="4"/>
  <c r="H90" i="4" s="1"/>
  <c r="J90" i="4" s="1"/>
  <c r="S82" i="3"/>
  <c r="D89" i="4"/>
  <c r="H89" i="4" s="1"/>
  <c r="J89" i="4" s="1"/>
  <c r="D88" i="4"/>
  <c r="H88" i="4" s="1"/>
  <c r="J88" i="4" s="1"/>
  <c r="S81" i="3"/>
  <c r="S80" i="3"/>
  <c r="D87" i="4"/>
  <c r="H87" i="4" s="1"/>
  <c r="J87" i="4" s="1"/>
  <c r="S79" i="3"/>
  <c r="D86" i="4"/>
  <c r="H86" i="4" s="1"/>
  <c r="J86" i="4" s="1"/>
  <c r="S78" i="3"/>
  <c r="D85" i="4"/>
  <c r="H85" i="4" s="1"/>
  <c r="J85" i="4" s="1"/>
  <c r="D84" i="4"/>
  <c r="H84" i="4" s="1"/>
  <c r="J84" i="4" s="1"/>
  <c r="S77" i="3"/>
  <c r="S76" i="3"/>
  <c r="D83" i="4"/>
  <c r="H83" i="4" s="1"/>
  <c r="J83" i="4" s="1"/>
  <c r="D82" i="4"/>
  <c r="H82" i="4" s="1"/>
  <c r="J82" i="4" s="1"/>
  <c r="S75" i="3"/>
  <c r="D81" i="4"/>
  <c r="H81" i="4" s="1"/>
  <c r="J81" i="4" s="1"/>
  <c r="S74" i="3"/>
  <c r="D80" i="4"/>
  <c r="H80" i="4" s="1"/>
  <c r="J80" i="4" s="1"/>
  <c r="S73" i="3"/>
  <c r="D79" i="4"/>
  <c r="H79" i="4" s="1"/>
  <c r="J79" i="4" s="1"/>
  <c r="S72" i="3"/>
  <c r="D78" i="4"/>
  <c r="H78" i="4" s="1"/>
  <c r="J78" i="4" s="1"/>
  <c r="S71" i="3"/>
  <c r="D77" i="4"/>
  <c r="H77" i="4" s="1"/>
  <c r="J77" i="4" s="1"/>
  <c r="S70" i="3"/>
  <c r="S69" i="3"/>
  <c r="D76" i="4"/>
  <c r="H76" i="4" s="1"/>
  <c r="J76" i="4" s="1"/>
  <c r="D75" i="4"/>
  <c r="H75" i="4" s="1"/>
  <c r="J75" i="4" s="1"/>
  <c r="S68" i="3"/>
  <c r="D74" i="4"/>
  <c r="H74" i="4" s="1"/>
  <c r="J74" i="4" s="1"/>
  <c r="S67" i="3"/>
  <c r="S66" i="3"/>
  <c r="D73" i="4"/>
  <c r="H73" i="4" s="1"/>
  <c r="J73" i="4" s="1"/>
  <c r="S65" i="3"/>
  <c r="D72" i="4"/>
  <c r="H72" i="4" s="1"/>
  <c r="J72" i="4" s="1"/>
  <c r="D71" i="4"/>
  <c r="H71" i="4" s="1"/>
  <c r="J71" i="4" s="1"/>
  <c r="S64" i="3"/>
  <c r="S63" i="3"/>
  <c r="D70" i="4"/>
  <c r="H70" i="4" s="1"/>
  <c r="J70" i="4" s="1"/>
  <c r="D69" i="4"/>
  <c r="H69" i="4" s="1"/>
  <c r="J69" i="4" s="1"/>
  <c r="S62" i="3"/>
  <c r="S61" i="3"/>
  <c r="D68" i="4"/>
  <c r="H68" i="4" s="1"/>
  <c r="J68" i="4" s="1"/>
  <c r="D67" i="4"/>
  <c r="H67" i="4" s="1"/>
  <c r="J67" i="4" s="1"/>
  <c r="S60" i="3"/>
  <c r="D66" i="4"/>
  <c r="H66" i="4" s="1"/>
  <c r="J66" i="4" s="1"/>
  <c r="S59" i="3"/>
  <c r="D65" i="4"/>
  <c r="H65" i="4" s="1"/>
  <c r="J65" i="4" s="1"/>
  <c r="S58" i="3"/>
  <c r="D64" i="4"/>
  <c r="H64" i="4" s="1"/>
  <c r="J64" i="4" s="1"/>
  <c r="S57" i="3"/>
  <c r="D63" i="4"/>
  <c r="H63" i="4" s="1"/>
  <c r="J63" i="4" s="1"/>
  <c r="S56" i="3"/>
  <c r="S55" i="3"/>
  <c r="D62" i="4"/>
  <c r="H62" i="4" s="1"/>
  <c r="J62" i="4" s="1"/>
  <c r="S54" i="3"/>
  <c r="D61" i="4"/>
  <c r="H61" i="4" s="1"/>
  <c r="J61" i="4" s="1"/>
  <c r="D60" i="4"/>
  <c r="H60" i="4" s="1"/>
  <c r="J60" i="4" s="1"/>
  <c r="S53" i="3"/>
  <c r="D45" i="4"/>
  <c r="H45" i="4" s="1"/>
  <c r="J45" i="4" s="1"/>
  <c r="S38" i="3"/>
  <c r="D44" i="4"/>
  <c r="H44" i="4" s="1"/>
  <c r="J44" i="4" s="1"/>
  <c r="S37" i="3"/>
  <c r="D43" i="4"/>
  <c r="H43" i="4" s="1"/>
  <c r="J43" i="4" s="1"/>
  <c r="S36" i="3"/>
  <c r="D42" i="4"/>
  <c r="H42" i="4" s="1"/>
  <c r="J42" i="4" s="1"/>
  <c r="S35" i="3"/>
  <c r="S34" i="3"/>
  <c r="D41" i="4"/>
  <c r="H41" i="4" s="1"/>
  <c r="J41" i="4" s="1"/>
  <c r="D40" i="4"/>
  <c r="H40" i="4" s="1"/>
  <c r="J40" i="4" s="1"/>
  <c r="S33" i="3"/>
  <c r="S32" i="3"/>
  <c r="D39" i="4"/>
  <c r="H39" i="4" s="1"/>
  <c r="J39" i="4" s="1"/>
  <c r="D38" i="4"/>
  <c r="H38" i="4" s="1"/>
  <c r="J38" i="4" s="1"/>
  <c r="S31" i="3"/>
  <c r="S30" i="3"/>
  <c r="D37" i="4"/>
  <c r="H37" i="4" s="1"/>
  <c r="J37" i="4" s="1"/>
  <c r="S29" i="3"/>
  <c r="D36" i="4"/>
  <c r="H36" i="4" s="1"/>
  <c r="J36" i="4" s="1"/>
  <c r="S28" i="3"/>
  <c r="D35" i="4"/>
  <c r="H35" i="4" s="1"/>
  <c r="J35" i="4" s="1"/>
  <c r="S27" i="3"/>
  <c r="D34" i="4"/>
  <c r="H34" i="4" s="1"/>
  <c r="J34" i="4" s="1"/>
  <c r="D33" i="4"/>
  <c r="H33" i="4" s="1"/>
  <c r="J33" i="4" s="1"/>
  <c r="S26" i="3"/>
  <c r="D32" i="4"/>
  <c r="H32" i="4" s="1"/>
  <c r="J32" i="4" s="1"/>
  <c r="S25" i="3"/>
  <c r="S24" i="3"/>
  <c r="D31" i="4"/>
  <c r="H31" i="4" s="1"/>
  <c r="J31" i="4" s="1"/>
  <c r="S23" i="3"/>
  <c r="D30" i="4"/>
  <c r="H30" i="4" s="1"/>
  <c r="J30" i="4" s="1"/>
  <c r="S22" i="3"/>
  <c r="D29" i="4"/>
  <c r="H29" i="4" s="1"/>
  <c r="J29" i="4" s="1"/>
  <c r="S21" i="3"/>
  <c r="D28" i="4"/>
  <c r="H28" i="4" s="1"/>
  <c r="J28" i="4" s="1"/>
  <c r="D27" i="4"/>
  <c r="H27" i="4" s="1"/>
  <c r="J27" i="4" s="1"/>
  <c r="S20" i="3"/>
  <c r="D26" i="4"/>
  <c r="H26" i="4" s="1"/>
  <c r="J26" i="4" s="1"/>
  <c r="S19" i="3"/>
  <c r="S18" i="3"/>
  <c r="D25" i="4"/>
  <c r="H25" i="4" s="1"/>
  <c r="J25" i="4" s="1"/>
  <c r="S17" i="3"/>
  <c r="D24" i="4"/>
  <c r="H24" i="4" s="1"/>
  <c r="J24" i="4" s="1"/>
  <c r="S16" i="3"/>
  <c r="D23" i="4"/>
  <c r="H23" i="4" s="1"/>
  <c r="J23" i="4" s="1"/>
  <c r="S15" i="3"/>
  <c r="D22" i="4"/>
  <c r="H22" i="4" s="1"/>
  <c r="J22" i="4" s="1"/>
  <c r="S14" i="3"/>
  <c r="D21" i="4"/>
  <c r="H21" i="4" s="1"/>
  <c r="J21" i="4" s="1"/>
  <c r="D20" i="4"/>
  <c r="H20" i="4" s="1"/>
  <c r="J20" i="4" s="1"/>
  <c r="S13" i="3"/>
  <c r="D19" i="4"/>
  <c r="H19" i="4" s="1"/>
  <c r="J19" i="4" s="1"/>
  <c r="S12" i="3"/>
  <c r="S11" i="3"/>
  <c r="D18" i="4"/>
  <c r="H18" i="4" s="1"/>
  <c r="J18" i="4" s="1"/>
  <c r="S10" i="3"/>
  <c r="D17" i="4"/>
  <c r="H17" i="4" s="1"/>
  <c r="J17" i="4" s="1"/>
  <c r="S9" i="3"/>
  <c r="D16" i="4"/>
  <c r="H16" i="4" s="1"/>
  <c r="J16" i="4" s="1"/>
  <c r="S8" i="3"/>
  <c r="D15" i="4"/>
  <c r="H15" i="4" s="1"/>
  <c r="J15" i="4" s="1"/>
  <c r="D14" i="4"/>
  <c r="H14" i="4" s="1"/>
  <c r="J14" i="4" s="1"/>
  <c r="S7" i="3"/>
  <c r="S6" i="3"/>
  <c r="D13" i="4"/>
  <c r="H13" i="4" s="1"/>
  <c r="J13" i="4" s="1"/>
  <c r="D12" i="4"/>
  <c r="H12" i="4" s="1"/>
  <c r="J12" i="4" s="1"/>
  <c r="S5" i="3"/>
  <c r="D11" i="4"/>
  <c r="H11" i="4" s="1"/>
  <c r="J11" i="4" s="1"/>
  <c r="S4" i="3"/>
  <c r="I10" i="4"/>
  <c r="I243" i="4" s="1"/>
  <c r="E243" i="4"/>
  <c r="D10" i="4"/>
  <c r="S3" i="3"/>
  <c r="J176" i="3"/>
  <c r="N176" i="3" s="1"/>
  <c r="J170" i="3"/>
  <c r="N170" i="3" s="1"/>
  <c r="J235" i="3"/>
  <c r="N235" i="3" s="1"/>
  <c r="J174" i="3"/>
  <c r="N174" i="3" s="1"/>
  <c r="J180" i="3"/>
  <c r="N180" i="3" s="1"/>
  <c r="J181" i="3"/>
  <c r="N181" i="3" s="1"/>
  <c r="J186" i="3"/>
  <c r="N186" i="3" s="1"/>
  <c r="J200" i="3"/>
  <c r="N200" i="3" s="1"/>
  <c r="J217" i="3"/>
  <c r="N217" i="3" s="1"/>
  <c r="J224" i="3"/>
  <c r="N224" i="3" s="1"/>
  <c r="J226" i="3"/>
  <c r="N226" i="3" s="1"/>
  <c r="J223" i="3"/>
  <c r="N223" i="3" s="1"/>
  <c r="J221" i="3"/>
  <c r="N221" i="3" s="1"/>
  <c r="J213" i="3"/>
  <c r="N213" i="3" s="1"/>
  <c r="J209" i="3"/>
  <c r="N209" i="3" s="1"/>
  <c r="J206" i="3"/>
  <c r="N206" i="3" s="1"/>
  <c r="J203" i="3"/>
  <c r="N203" i="3" s="1"/>
  <c r="J211" i="3"/>
  <c r="N211" i="3" s="1"/>
  <c r="J218" i="3"/>
  <c r="N218" i="3" s="1"/>
  <c r="J195" i="3"/>
  <c r="N195" i="3" s="1"/>
  <c r="J193" i="3"/>
  <c r="N193" i="3" s="1"/>
  <c r="J190" i="3"/>
  <c r="N190" i="3" s="1"/>
  <c r="J187" i="3"/>
  <c r="N187" i="3" s="1"/>
  <c r="J184" i="3"/>
  <c r="N184" i="3" s="1"/>
  <c r="J178" i="3"/>
  <c r="N178" i="3" s="1"/>
  <c r="J172" i="3"/>
  <c r="N172" i="3" s="1"/>
  <c r="J175" i="3"/>
  <c r="N175" i="3" s="1"/>
  <c r="J194" i="3"/>
  <c r="N194" i="3" s="1"/>
  <c r="J196" i="3"/>
  <c r="N196" i="3" s="1"/>
  <c r="J208" i="3"/>
  <c r="N208" i="3" s="1"/>
  <c r="J171" i="3"/>
  <c r="N171" i="3" s="1"/>
  <c r="J173" i="3"/>
  <c r="N173" i="3" s="1"/>
  <c r="J177" i="3"/>
  <c r="N177" i="3" s="1"/>
  <c r="J182" i="3"/>
  <c r="N182" i="3" s="1"/>
  <c r="J183" i="3"/>
  <c r="N183" i="3" s="1"/>
  <c r="J179" i="3"/>
  <c r="N179" i="3" s="1"/>
  <c r="J191" i="3"/>
  <c r="N191" i="3" s="1"/>
  <c r="J189" i="3"/>
  <c r="N189" i="3" s="1"/>
  <c r="J197" i="3"/>
  <c r="N197" i="3" s="1"/>
  <c r="J212" i="3"/>
  <c r="N212" i="3" s="1"/>
  <c r="J202" i="3"/>
  <c r="N202" i="3" s="1"/>
  <c r="J204" i="3"/>
  <c r="N204" i="3" s="1"/>
  <c r="J229" i="3"/>
  <c r="N229" i="3" s="1"/>
  <c r="J222" i="3"/>
  <c r="N222" i="3" s="1"/>
  <c r="J228" i="3"/>
  <c r="N228" i="3" s="1"/>
  <c r="J207" i="3"/>
  <c r="N207" i="3" s="1"/>
  <c r="J214" i="3"/>
  <c r="N214" i="3" s="1"/>
  <c r="J230" i="3"/>
  <c r="N230" i="3" s="1"/>
  <c r="J225" i="3"/>
  <c r="N225" i="3" s="1"/>
  <c r="J227" i="3"/>
  <c r="N227" i="3" s="1"/>
  <c r="J231" i="3"/>
  <c r="N231" i="3" s="1"/>
  <c r="J233" i="3"/>
  <c r="N233" i="3" s="1"/>
  <c r="J234" i="3"/>
  <c r="N234" i="3" s="1"/>
  <c r="J219" i="3"/>
  <c r="N219" i="3" s="1"/>
  <c r="T8" i="2"/>
  <c r="U8" i="2" s="1"/>
  <c r="J215" i="3"/>
  <c r="N215" i="3" s="1"/>
  <c r="J188" i="3"/>
  <c r="N188" i="3" s="1"/>
  <c r="J232" i="3"/>
  <c r="N232" i="3" s="1"/>
  <c r="J205" i="3"/>
  <c r="N205" i="3" s="1"/>
  <c r="J198" i="3"/>
  <c r="N198" i="3" s="1"/>
  <c r="J220" i="3"/>
  <c r="N220" i="3" s="1"/>
  <c r="J201" i="3"/>
  <c r="N201" i="3" s="1"/>
  <c r="J216" i="3"/>
  <c r="N216" i="3" s="1"/>
  <c r="J192" i="3"/>
  <c r="N192" i="3" s="1"/>
  <c r="J210" i="3"/>
  <c r="N210" i="3" s="1"/>
  <c r="J199" i="3"/>
  <c r="N199" i="3" s="1"/>
  <c r="J185" i="3"/>
  <c r="N185" i="3" s="1"/>
  <c r="J90" i="3"/>
  <c r="N90" i="3" s="1"/>
  <c r="J91" i="3"/>
  <c r="N91" i="3" s="1"/>
  <c r="J92" i="3"/>
  <c r="N92" i="3" s="1"/>
  <c r="J88" i="3"/>
  <c r="N88" i="3" s="1"/>
  <c r="J79" i="3"/>
  <c r="N79" i="3" s="1"/>
  <c r="J93" i="3"/>
  <c r="N93" i="3" s="1"/>
  <c r="J94" i="3"/>
  <c r="N94" i="3" s="1"/>
  <c r="J110" i="3"/>
  <c r="N110" i="3" s="1"/>
  <c r="J89" i="3"/>
  <c r="N89" i="3" s="1"/>
  <c r="J95" i="3"/>
  <c r="N95" i="3" s="1"/>
  <c r="J111" i="3"/>
  <c r="N111" i="3" s="1"/>
  <c r="J96" i="3"/>
  <c r="N96" i="3" s="1"/>
  <c r="J102" i="3"/>
  <c r="N102" i="3" s="1"/>
  <c r="J117" i="3"/>
  <c r="N117" i="3" s="1"/>
  <c r="J97" i="3"/>
  <c r="N97" i="3" s="1"/>
  <c r="J98" i="3"/>
  <c r="N98" i="3" s="1"/>
  <c r="J112" i="3"/>
  <c r="N112" i="3" s="1"/>
  <c r="J113" i="3"/>
  <c r="N113" i="3" s="1"/>
  <c r="J99" i="3"/>
  <c r="N99" i="3" s="1"/>
  <c r="J114" i="3"/>
  <c r="N114" i="3" s="1"/>
  <c r="J100" i="3"/>
  <c r="N100" i="3" s="1"/>
  <c r="J115" i="3"/>
  <c r="N115" i="3" s="1"/>
  <c r="J116" i="3"/>
  <c r="N116" i="3" s="1"/>
  <c r="J101" i="3"/>
  <c r="N101" i="3" s="1"/>
  <c r="J118" i="3"/>
  <c r="N118" i="3" s="1"/>
  <c r="J119" i="3"/>
  <c r="N119" i="3" s="1"/>
  <c r="J80" i="3"/>
  <c r="N80" i="3" s="1"/>
  <c r="J103" i="3"/>
  <c r="N103" i="3" s="1"/>
  <c r="J81" i="3"/>
  <c r="N81" i="3" s="1"/>
  <c r="J104" i="3"/>
  <c r="N104" i="3" s="1"/>
  <c r="J85" i="3"/>
  <c r="N85" i="3" s="1"/>
  <c r="J82" i="3"/>
  <c r="N82" i="3" s="1"/>
  <c r="J105" i="3"/>
  <c r="N105" i="3" s="1"/>
  <c r="J106" i="3"/>
  <c r="N106" i="3" s="1"/>
  <c r="J83" i="3"/>
  <c r="N83" i="3" s="1"/>
  <c r="J84" i="3"/>
  <c r="N84" i="3" s="1"/>
  <c r="J107" i="3"/>
  <c r="N107" i="3" s="1"/>
  <c r="T7" i="2"/>
  <c r="U7" i="2" s="1"/>
  <c r="J108" i="3"/>
  <c r="N108" i="3" s="1"/>
  <c r="J86" i="3"/>
  <c r="N86" i="3" s="1"/>
  <c r="J87" i="3"/>
  <c r="N87" i="3" s="1"/>
  <c r="J109" i="3"/>
  <c r="N109" i="3" s="1"/>
  <c r="J49" i="3"/>
  <c r="N49" i="3" s="1"/>
  <c r="T6" i="2"/>
  <c r="U6" i="2" s="1"/>
  <c r="J51" i="3"/>
  <c r="N51" i="3" s="1"/>
  <c r="J52" i="3"/>
  <c r="N52" i="3" s="1"/>
  <c r="J50" i="3"/>
  <c r="N50" i="3" s="1"/>
  <c r="J47" i="3"/>
  <c r="N47" i="3" s="1"/>
  <c r="J43" i="3"/>
  <c r="N43" i="3" s="1"/>
  <c r="J40" i="3"/>
  <c r="N40" i="3" s="1"/>
  <c r="J48" i="3"/>
  <c r="N48" i="3" s="1"/>
  <c r="J41" i="3"/>
  <c r="N41" i="3" s="1"/>
  <c r="J37" i="3"/>
  <c r="N37" i="3" s="1"/>
  <c r="J44" i="3"/>
  <c r="N44" i="3" s="1"/>
  <c r="J46" i="3"/>
  <c r="N46" i="3" s="1"/>
  <c r="J42" i="3"/>
  <c r="N42" i="3" s="1"/>
  <c r="J45" i="3"/>
  <c r="N45" i="3" s="1"/>
  <c r="J38" i="3"/>
  <c r="N38" i="3" s="1"/>
  <c r="J39" i="3"/>
  <c r="N39" i="3" s="1"/>
  <c r="J36" i="3"/>
  <c r="N36" i="3" s="1"/>
  <c r="T5" i="2"/>
  <c r="U5" i="2" s="1"/>
  <c r="J35" i="3"/>
  <c r="N35" i="3" s="1"/>
  <c r="J17" i="3"/>
  <c r="N17" i="3" s="1"/>
  <c r="J16" i="3"/>
  <c r="N16" i="3" s="1"/>
  <c r="J15" i="3"/>
  <c r="N15" i="3" s="1"/>
  <c r="J14" i="3"/>
  <c r="N14" i="3" s="1"/>
  <c r="J13" i="3"/>
  <c r="N13" i="3" s="1"/>
  <c r="J6" i="3"/>
  <c r="N6" i="3" s="1"/>
  <c r="J28" i="3"/>
  <c r="N28" i="3" s="1"/>
  <c r="J5" i="3"/>
  <c r="N5" i="3" s="1"/>
  <c r="J9" i="3"/>
  <c r="N9" i="3" s="1"/>
  <c r="J27" i="3"/>
  <c r="N27" i="3" s="1"/>
  <c r="J4" i="3"/>
  <c r="N4" i="3" s="1"/>
  <c r="J26" i="3"/>
  <c r="N26" i="3" s="1"/>
  <c r="J33" i="3"/>
  <c r="N33" i="3" s="1"/>
  <c r="J3" i="3"/>
  <c r="N3" i="3" s="1"/>
  <c r="J25" i="3"/>
  <c r="N25" i="3" s="1"/>
  <c r="J8" i="3"/>
  <c r="N8" i="3" s="1"/>
  <c r="J23" i="3"/>
  <c r="N23" i="3" s="1"/>
  <c r="J22" i="3"/>
  <c r="N22" i="3" s="1"/>
  <c r="J21" i="3"/>
  <c r="N21" i="3" s="1"/>
  <c r="T4" i="2"/>
  <c r="U4" i="2" s="1"/>
  <c r="J24" i="3"/>
  <c r="N24" i="3" s="1"/>
  <c r="J32" i="3"/>
  <c r="N32" i="3" s="1"/>
  <c r="J20" i="3"/>
  <c r="N20" i="3" s="1"/>
  <c r="J12" i="3"/>
  <c r="N12" i="3" s="1"/>
  <c r="J31" i="3"/>
  <c r="N31" i="3" s="1"/>
  <c r="J7" i="3"/>
  <c r="N7" i="3" s="1"/>
  <c r="J34" i="3"/>
  <c r="N34" i="3" s="1"/>
  <c r="J30" i="3"/>
  <c r="N30" i="3" s="1"/>
  <c r="J10" i="3"/>
  <c r="N10" i="3" s="1"/>
  <c r="J19" i="3"/>
  <c r="N19" i="3" s="1"/>
  <c r="J29" i="3"/>
  <c r="N29" i="3" s="1"/>
  <c r="J18" i="3"/>
  <c r="N18" i="3" s="1"/>
  <c r="J11" i="3"/>
  <c r="N11" i="3" s="1"/>
  <c r="J126" i="4"/>
  <c r="J59" i="4"/>
  <c r="J55" i="4"/>
  <c r="J54" i="4"/>
  <c r="J53" i="4"/>
  <c r="J52" i="4"/>
  <c r="J50" i="4"/>
  <c r="J49" i="4"/>
  <c r="J48" i="4"/>
  <c r="J47" i="4"/>
  <c r="J58" i="4"/>
  <c r="J57" i="4"/>
  <c r="J56" i="4"/>
  <c r="J51" i="4"/>
  <c r="J46" i="4"/>
  <c r="S10" i="4" l="1"/>
  <c r="F167" i="6"/>
  <c r="G167" i="6"/>
  <c r="K167" i="6"/>
  <c r="L167" i="6" s="1"/>
  <c r="P167" i="6"/>
  <c r="T156" i="3"/>
  <c r="F47" i="6"/>
  <c r="G47" i="6"/>
  <c r="K47" i="6"/>
  <c r="L47" i="6" s="1"/>
  <c r="F246" i="6"/>
  <c r="G246" i="6"/>
  <c r="K246" i="6"/>
  <c r="L246" i="6" s="1"/>
  <c r="P246" i="6"/>
  <c r="T235" i="3"/>
  <c r="F245" i="6"/>
  <c r="G245" i="6"/>
  <c r="K245" i="6"/>
  <c r="L245" i="6" s="1"/>
  <c r="P245" i="6"/>
  <c r="T234" i="3"/>
  <c r="F244" i="6"/>
  <c r="G244" i="6"/>
  <c r="K244" i="6"/>
  <c r="L244" i="6" s="1"/>
  <c r="P244" i="6"/>
  <c r="T233" i="3"/>
  <c r="F243" i="6"/>
  <c r="G243" i="6"/>
  <c r="K243" i="6"/>
  <c r="L243" i="6" s="1"/>
  <c r="P243" i="6"/>
  <c r="T232" i="3"/>
  <c r="F242" i="6"/>
  <c r="G242" i="6"/>
  <c r="K242" i="6"/>
  <c r="L242" i="6" s="1"/>
  <c r="P242" i="6"/>
  <c r="T231" i="3"/>
  <c r="F241" i="6"/>
  <c r="G241" i="6"/>
  <c r="K241" i="6"/>
  <c r="L241" i="6" s="1"/>
  <c r="P241" i="6"/>
  <c r="T230" i="3"/>
  <c r="F240" i="6"/>
  <c r="G240" i="6"/>
  <c r="K240" i="6"/>
  <c r="L240" i="6" s="1"/>
  <c r="P240" i="6"/>
  <c r="T229" i="3"/>
  <c r="F239" i="6"/>
  <c r="G239" i="6"/>
  <c r="K239" i="6"/>
  <c r="L239" i="6" s="1"/>
  <c r="P239" i="6"/>
  <c r="T228" i="3"/>
  <c r="F238" i="6"/>
  <c r="G238" i="6"/>
  <c r="K238" i="6"/>
  <c r="L238" i="6" s="1"/>
  <c r="P238" i="6"/>
  <c r="T227" i="3"/>
  <c r="F237" i="6"/>
  <c r="G237" i="6"/>
  <c r="K237" i="6"/>
  <c r="L237" i="6" s="1"/>
  <c r="P237" i="6"/>
  <c r="T226" i="3"/>
  <c r="F236" i="6"/>
  <c r="G236" i="6"/>
  <c r="K236" i="6"/>
  <c r="L236" i="6" s="1"/>
  <c r="P236" i="6"/>
  <c r="T225" i="3"/>
  <c r="F235" i="6"/>
  <c r="G235" i="6"/>
  <c r="K235" i="6"/>
  <c r="L235" i="6" s="1"/>
  <c r="P235" i="6"/>
  <c r="T224" i="3"/>
  <c r="F234" i="6"/>
  <c r="G234" i="6"/>
  <c r="K234" i="6"/>
  <c r="L234" i="6" s="1"/>
  <c r="P234" i="6"/>
  <c r="T223" i="3"/>
  <c r="F233" i="6"/>
  <c r="G233" i="6"/>
  <c r="K233" i="6"/>
  <c r="L233" i="6" s="1"/>
  <c r="P233" i="6"/>
  <c r="T222" i="3"/>
  <c r="F232" i="6"/>
  <c r="G232" i="6"/>
  <c r="K232" i="6"/>
  <c r="L232" i="6" s="1"/>
  <c r="P232" i="6"/>
  <c r="T221" i="3"/>
  <c r="F231" i="6"/>
  <c r="G231" i="6"/>
  <c r="K231" i="6"/>
  <c r="L231" i="6" s="1"/>
  <c r="P231" i="6"/>
  <c r="T220" i="3"/>
  <c r="F230" i="6"/>
  <c r="G230" i="6"/>
  <c r="K230" i="6"/>
  <c r="L230" i="6" s="1"/>
  <c r="F229" i="6"/>
  <c r="G229" i="6"/>
  <c r="K229" i="6"/>
  <c r="L229" i="6" s="1"/>
  <c r="P229" i="6"/>
  <c r="T218" i="3"/>
  <c r="F228" i="6"/>
  <c r="G228" i="6"/>
  <c r="K228" i="6" s="1"/>
  <c r="L228" i="6" s="1"/>
  <c r="F227" i="6"/>
  <c r="K227" i="6" s="1"/>
  <c r="L227" i="6" s="1"/>
  <c r="G227" i="6"/>
  <c r="F226" i="6"/>
  <c r="G226" i="6"/>
  <c r="K226" i="6"/>
  <c r="L226" i="6" s="1"/>
  <c r="P226" i="6"/>
  <c r="T215" i="3"/>
  <c r="F225" i="6"/>
  <c r="G225" i="6"/>
  <c r="K225" i="6"/>
  <c r="L225" i="6" s="1"/>
  <c r="P225" i="6"/>
  <c r="T214" i="3"/>
  <c r="F224" i="6"/>
  <c r="G224" i="6"/>
  <c r="K224" i="6"/>
  <c r="L224" i="6" s="1"/>
  <c r="P224" i="6"/>
  <c r="T213" i="3"/>
  <c r="F223" i="6"/>
  <c r="G223" i="6"/>
  <c r="K223" i="6"/>
  <c r="L223" i="6" s="1"/>
  <c r="P223" i="6"/>
  <c r="T212" i="3"/>
  <c r="F222" i="6"/>
  <c r="G222" i="6"/>
  <c r="K222" i="6"/>
  <c r="L222" i="6" s="1"/>
  <c r="P222" i="6"/>
  <c r="T211" i="3"/>
  <c r="F221" i="6"/>
  <c r="G221" i="6"/>
  <c r="K221" i="6"/>
  <c r="L221" i="6" s="1"/>
  <c r="P221" i="6"/>
  <c r="T210" i="3"/>
  <c r="F220" i="6"/>
  <c r="G220" i="6"/>
  <c r="K220" i="6"/>
  <c r="L220" i="6" s="1"/>
  <c r="P220" i="6"/>
  <c r="T209" i="3"/>
  <c r="F219" i="6"/>
  <c r="G219" i="6"/>
  <c r="K219" i="6"/>
  <c r="L219" i="6" s="1"/>
  <c r="P219" i="6"/>
  <c r="T208" i="3"/>
  <c r="F218" i="6"/>
  <c r="G218" i="6"/>
  <c r="K218" i="6"/>
  <c r="L218" i="6" s="1"/>
  <c r="P218" i="6"/>
  <c r="T207" i="3"/>
  <c r="F217" i="6"/>
  <c r="G217" i="6"/>
  <c r="K217" i="6"/>
  <c r="L217" i="6" s="1"/>
  <c r="P217" i="6"/>
  <c r="T206" i="3"/>
  <c r="F216" i="6"/>
  <c r="G216" i="6"/>
  <c r="K216" i="6"/>
  <c r="L216" i="6" s="1"/>
  <c r="P216" i="6"/>
  <c r="T205" i="3"/>
  <c r="F215" i="6"/>
  <c r="G215" i="6"/>
  <c r="K215" i="6"/>
  <c r="L215" i="6" s="1"/>
  <c r="P215" i="6"/>
  <c r="T204" i="3"/>
  <c r="F214" i="6"/>
  <c r="G214" i="6"/>
  <c r="K214" i="6"/>
  <c r="L214" i="6" s="1"/>
  <c r="P214" i="6"/>
  <c r="T203" i="3"/>
  <c r="F213" i="6"/>
  <c r="G213" i="6"/>
  <c r="K213" i="6"/>
  <c r="L213" i="6" s="1"/>
  <c r="P213" i="6"/>
  <c r="T202" i="3"/>
  <c r="F212" i="6"/>
  <c r="G212" i="6"/>
  <c r="K212" i="6"/>
  <c r="L212" i="6" s="1"/>
  <c r="F211" i="6"/>
  <c r="G211" i="6"/>
  <c r="K211" i="6"/>
  <c r="L211" i="6" s="1"/>
  <c r="P211" i="6"/>
  <c r="T200" i="3"/>
  <c r="F210" i="6"/>
  <c r="G210" i="6"/>
  <c r="K210" i="6"/>
  <c r="L210" i="6" s="1"/>
  <c r="F209" i="6"/>
  <c r="G209" i="6"/>
  <c r="K209" i="6"/>
  <c r="L209" i="6" s="1"/>
  <c r="P209" i="6"/>
  <c r="T198" i="3"/>
  <c r="F208" i="6"/>
  <c r="G208" i="6"/>
  <c r="K208" i="6"/>
  <c r="L208" i="6" s="1"/>
  <c r="P208" i="6"/>
  <c r="T197" i="3"/>
  <c r="F207" i="6"/>
  <c r="G207" i="6"/>
  <c r="K207" i="6"/>
  <c r="L207" i="6" s="1"/>
  <c r="P207" i="6"/>
  <c r="T196" i="3"/>
  <c r="F206" i="6"/>
  <c r="G206" i="6"/>
  <c r="K206" i="6"/>
  <c r="L206" i="6" s="1"/>
  <c r="P206" i="6"/>
  <c r="T195" i="3"/>
  <c r="F205" i="6"/>
  <c r="G205" i="6"/>
  <c r="K205" i="6"/>
  <c r="L205" i="6" s="1"/>
  <c r="P205" i="6"/>
  <c r="T194" i="3"/>
  <c r="F204" i="6"/>
  <c r="G204" i="6"/>
  <c r="K204" i="6"/>
  <c r="L204" i="6" s="1"/>
  <c r="P204" i="6"/>
  <c r="T193" i="3"/>
  <c r="F203" i="6"/>
  <c r="G203" i="6"/>
  <c r="K203" i="6"/>
  <c r="L203" i="6" s="1"/>
  <c r="P203" i="6"/>
  <c r="T192" i="3"/>
  <c r="F202" i="6"/>
  <c r="G202" i="6"/>
  <c r="K202" i="6"/>
  <c r="L202" i="6" s="1"/>
  <c r="P202" i="6"/>
  <c r="T191" i="3"/>
  <c r="F201" i="6"/>
  <c r="G201" i="6"/>
  <c r="K201" i="6"/>
  <c r="L201" i="6" s="1"/>
  <c r="T190" i="3"/>
  <c r="F200" i="6"/>
  <c r="G200" i="6"/>
  <c r="K200" i="6"/>
  <c r="L200" i="6" s="1"/>
  <c r="F199" i="6"/>
  <c r="G199" i="6"/>
  <c r="K199" i="6"/>
  <c r="L199" i="6" s="1"/>
  <c r="F198" i="6"/>
  <c r="G198" i="6"/>
  <c r="K198" i="6"/>
  <c r="L198" i="6" s="1"/>
  <c r="F197" i="6"/>
  <c r="G197" i="6"/>
  <c r="K197" i="6"/>
  <c r="L197" i="6" s="1"/>
  <c r="F196" i="6"/>
  <c r="G196" i="6"/>
  <c r="K196" i="6"/>
  <c r="L196" i="6" s="1"/>
  <c r="F195" i="6"/>
  <c r="G195" i="6"/>
  <c r="K195" i="6" s="1"/>
  <c r="L195" i="6" s="1"/>
  <c r="F194" i="6"/>
  <c r="G194" i="6"/>
  <c r="K194" i="6"/>
  <c r="L194" i="6" s="1"/>
  <c r="F193" i="6"/>
  <c r="G193" i="6"/>
  <c r="K193" i="6"/>
  <c r="L193" i="6" s="1"/>
  <c r="F192" i="6"/>
  <c r="G192" i="6"/>
  <c r="K192" i="6"/>
  <c r="L192" i="6" s="1"/>
  <c r="P192" i="6"/>
  <c r="T181" i="3"/>
  <c r="F191" i="6"/>
  <c r="G191" i="6"/>
  <c r="K191" i="6"/>
  <c r="L191" i="6" s="1"/>
  <c r="P191" i="6"/>
  <c r="T180" i="3"/>
  <c r="F190" i="6"/>
  <c r="G190" i="6"/>
  <c r="K190" i="6"/>
  <c r="L190" i="6" s="1"/>
  <c r="P190" i="6"/>
  <c r="T179" i="3"/>
  <c r="F189" i="6"/>
  <c r="G189" i="6"/>
  <c r="K189" i="6"/>
  <c r="L189" i="6" s="1"/>
  <c r="P189" i="6"/>
  <c r="T178" i="3"/>
  <c r="F188" i="6"/>
  <c r="G188" i="6"/>
  <c r="K188" i="6"/>
  <c r="L188" i="6" s="1"/>
  <c r="P188" i="6"/>
  <c r="T177" i="3"/>
  <c r="F187" i="6"/>
  <c r="G187" i="6"/>
  <c r="K187" i="6"/>
  <c r="L187" i="6" s="1"/>
  <c r="P187" i="6"/>
  <c r="T176" i="3"/>
  <c r="F186" i="6"/>
  <c r="G186" i="6"/>
  <c r="K186" i="6"/>
  <c r="L186" i="6" s="1"/>
  <c r="P186" i="6"/>
  <c r="T175" i="3"/>
  <c r="F185" i="6"/>
  <c r="G185" i="6"/>
  <c r="K185" i="6"/>
  <c r="L185" i="6" s="1"/>
  <c r="P185" i="6"/>
  <c r="T174" i="3"/>
  <c r="F184" i="6"/>
  <c r="G184" i="6"/>
  <c r="K184" i="6"/>
  <c r="L184" i="6" s="1"/>
  <c r="P184" i="6"/>
  <c r="T173" i="3"/>
  <c r="F183" i="6"/>
  <c r="G183" i="6"/>
  <c r="K183" i="6"/>
  <c r="L183" i="6" s="1"/>
  <c r="P183" i="6"/>
  <c r="T172" i="3"/>
  <c r="F182" i="6"/>
  <c r="G182" i="6"/>
  <c r="K182" i="6"/>
  <c r="L182" i="6" s="1"/>
  <c r="P182" i="6"/>
  <c r="T171" i="3"/>
  <c r="F181" i="6"/>
  <c r="G181" i="6"/>
  <c r="K181" i="6"/>
  <c r="L181" i="6" s="1"/>
  <c r="P181" i="6"/>
  <c r="T170" i="3"/>
  <c r="F180" i="6"/>
  <c r="G180" i="6"/>
  <c r="K180" i="6"/>
  <c r="L180" i="6" s="1"/>
  <c r="P180" i="6"/>
  <c r="T169" i="3"/>
  <c r="F179" i="6"/>
  <c r="G179" i="6"/>
  <c r="K179" i="6"/>
  <c r="L179" i="6" s="1"/>
  <c r="P179" i="6"/>
  <c r="T168" i="3"/>
  <c r="F178" i="6"/>
  <c r="G178" i="6"/>
  <c r="K178" i="6" s="1"/>
  <c r="L178" i="6" s="1"/>
  <c r="F177" i="6"/>
  <c r="G177" i="6"/>
  <c r="F176" i="6"/>
  <c r="G176" i="6"/>
  <c r="F175" i="6"/>
  <c r="K175" i="6" s="1"/>
  <c r="L175" i="6" s="1"/>
  <c r="G175" i="6"/>
  <c r="F174" i="6"/>
  <c r="G174" i="6"/>
  <c r="K174" i="6"/>
  <c r="L174" i="6" s="1"/>
  <c r="F173" i="6"/>
  <c r="G173" i="6"/>
  <c r="K173" i="6"/>
  <c r="L173" i="6" s="1"/>
  <c r="F172" i="6"/>
  <c r="G172" i="6"/>
  <c r="K172" i="6"/>
  <c r="L172" i="6" s="1"/>
  <c r="F171" i="6"/>
  <c r="G171" i="6"/>
  <c r="K171" i="6"/>
  <c r="L171" i="6" s="1"/>
  <c r="F170" i="6"/>
  <c r="G170" i="6"/>
  <c r="K170" i="6"/>
  <c r="L170" i="6" s="1"/>
  <c r="F169" i="6"/>
  <c r="G169" i="6"/>
  <c r="K169" i="6"/>
  <c r="L169" i="6" s="1"/>
  <c r="F168" i="6"/>
  <c r="G168" i="6"/>
  <c r="K168" i="6"/>
  <c r="L168" i="6" s="1"/>
  <c r="F166" i="6"/>
  <c r="G166" i="6"/>
  <c r="K166" i="6"/>
  <c r="L166" i="6" s="1"/>
  <c r="F165" i="6"/>
  <c r="G165" i="6"/>
  <c r="K165" i="6" s="1"/>
  <c r="L165" i="6" s="1"/>
  <c r="F164" i="6"/>
  <c r="G164" i="6"/>
  <c r="F163" i="6"/>
  <c r="G163" i="6"/>
  <c r="F162" i="6"/>
  <c r="G162" i="6"/>
  <c r="F161" i="6"/>
  <c r="G161" i="6"/>
  <c r="F160" i="6"/>
  <c r="G160" i="6"/>
  <c r="F159" i="6"/>
  <c r="G159" i="6"/>
  <c r="F158" i="6"/>
  <c r="K158" i="6" s="1"/>
  <c r="L158" i="6" s="1"/>
  <c r="G158" i="6"/>
  <c r="F157" i="6"/>
  <c r="G157" i="6"/>
  <c r="F156" i="6"/>
  <c r="K156" i="6" s="1"/>
  <c r="L156" i="6" s="1"/>
  <c r="G156" i="6"/>
  <c r="F155" i="6"/>
  <c r="G155" i="6"/>
  <c r="F154" i="6"/>
  <c r="G154" i="6"/>
  <c r="F153" i="6"/>
  <c r="K153" i="6" s="1"/>
  <c r="L153" i="6" s="1"/>
  <c r="G153" i="6"/>
  <c r="F152" i="6"/>
  <c r="G152" i="6"/>
  <c r="F151" i="6"/>
  <c r="G151" i="6"/>
  <c r="F150" i="6"/>
  <c r="K150" i="6" s="1"/>
  <c r="L150" i="6" s="1"/>
  <c r="G150" i="6"/>
  <c r="F149" i="6"/>
  <c r="G149" i="6"/>
  <c r="K149" i="6"/>
  <c r="L149" i="6" s="1"/>
  <c r="F148" i="6"/>
  <c r="G148" i="6"/>
  <c r="K148" i="6"/>
  <c r="L148" i="6" s="1"/>
  <c r="F147" i="6"/>
  <c r="G147" i="6"/>
  <c r="K147" i="6"/>
  <c r="L147" i="6" s="1"/>
  <c r="F146" i="6"/>
  <c r="G146" i="6"/>
  <c r="K146" i="6"/>
  <c r="L146" i="6" s="1"/>
  <c r="F145" i="6"/>
  <c r="G145" i="6"/>
  <c r="F144" i="6"/>
  <c r="G144" i="6"/>
  <c r="F143" i="6"/>
  <c r="K143" i="6" s="1"/>
  <c r="L143" i="6" s="1"/>
  <c r="G143" i="6"/>
  <c r="F142" i="6"/>
  <c r="G142" i="6"/>
  <c r="F141" i="6"/>
  <c r="G141" i="6"/>
  <c r="F140" i="6"/>
  <c r="G140" i="6"/>
  <c r="F139" i="6"/>
  <c r="G139" i="6"/>
  <c r="F138" i="6"/>
  <c r="G138" i="6"/>
  <c r="K138" i="6"/>
  <c r="L138" i="6" s="1"/>
  <c r="F137" i="6"/>
  <c r="G137" i="6"/>
  <c r="K137" i="6"/>
  <c r="L137" i="6" s="1"/>
  <c r="N137" i="6"/>
  <c r="O137" i="6" s="1"/>
  <c r="P137" i="6"/>
  <c r="T126" i="3"/>
  <c r="F136" i="6"/>
  <c r="G136" i="6"/>
  <c r="K136" i="6"/>
  <c r="L136" i="6" s="1"/>
  <c r="N136" i="6"/>
  <c r="O136" i="6" s="1"/>
  <c r="P136" i="6"/>
  <c r="T125" i="3"/>
  <c r="F135" i="6"/>
  <c r="G135" i="6"/>
  <c r="K135" i="6"/>
  <c r="L135" i="6" s="1"/>
  <c r="N135" i="6"/>
  <c r="O135" i="6" s="1"/>
  <c r="P135" i="6"/>
  <c r="T124" i="3"/>
  <c r="F134" i="6"/>
  <c r="G134" i="6"/>
  <c r="K134" i="6"/>
  <c r="L134" i="6" s="1"/>
  <c r="N134" i="6"/>
  <c r="O134" i="6" s="1"/>
  <c r="P134" i="6"/>
  <c r="T123" i="3"/>
  <c r="F133" i="6"/>
  <c r="G133" i="6"/>
  <c r="K133" i="6"/>
  <c r="L133" i="6" s="1"/>
  <c r="N133" i="6"/>
  <c r="O133" i="6" s="1"/>
  <c r="P133" i="6"/>
  <c r="T122" i="3"/>
  <c r="F132" i="6"/>
  <c r="G132" i="6"/>
  <c r="K132" i="6"/>
  <c r="L132" i="6" s="1"/>
  <c r="N132" i="6"/>
  <c r="O132" i="6" s="1"/>
  <c r="P132" i="6"/>
  <c r="T121" i="3"/>
  <c r="F131" i="6"/>
  <c r="G131" i="6"/>
  <c r="K131" i="6"/>
  <c r="L131" i="6" s="1"/>
  <c r="N131" i="6"/>
  <c r="O131" i="6" s="1"/>
  <c r="P131" i="6"/>
  <c r="T120" i="3"/>
  <c r="F130" i="6"/>
  <c r="G130" i="6"/>
  <c r="K130" i="6"/>
  <c r="L130" i="6" s="1"/>
  <c r="P130" i="6"/>
  <c r="T119" i="3"/>
  <c r="F129" i="6"/>
  <c r="G129" i="6"/>
  <c r="K129" i="6"/>
  <c r="L129" i="6" s="1"/>
  <c r="N129" i="6" s="1"/>
  <c r="O129" i="6" s="1"/>
  <c r="P129" i="6"/>
  <c r="T118" i="3"/>
  <c r="F128" i="6"/>
  <c r="K128" i="6" s="1"/>
  <c r="L128" i="6" s="1"/>
  <c r="G128" i="6"/>
  <c r="F127" i="6"/>
  <c r="G127" i="6"/>
  <c r="K127" i="6"/>
  <c r="L127" i="6" s="1"/>
  <c r="F126" i="6"/>
  <c r="G126" i="6"/>
  <c r="K126" i="6"/>
  <c r="L126" i="6" s="1"/>
  <c r="F125" i="6"/>
  <c r="G125" i="6"/>
  <c r="K125" i="6" s="1"/>
  <c r="L125" i="6" s="1"/>
  <c r="F124" i="6"/>
  <c r="K124" i="6" s="1"/>
  <c r="L124" i="6" s="1"/>
  <c r="G124" i="6"/>
  <c r="F123" i="6"/>
  <c r="G123" i="6"/>
  <c r="K123" i="6"/>
  <c r="L123" i="6" s="1"/>
  <c r="P123" i="6"/>
  <c r="T112" i="3"/>
  <c r="F122" i="6"/>
  <c r="G122" i="6"/>
  <c r="K122" i="6"/>
  <c r="L122" i="6" s="1"/>
  <c r="N122" i="6"/>
  <c r="O122" i="6" s="1"/>
  <c r="P122" i="6"/>
  <c r="T111" i="3"/>
  <c r="F121" i="6"/>
  <c r="G121" i="6"/>
  <c r="K121" i="6"/>
  <c r="L121" i="6" s="1"/>
  <c r="N121" i="6"/>
  <c r="O121" i="6" s="1"/>
  <c r="P121" i="6"/>
  <c r="T110" i="3"/>
  <c r="F120" i="6"/>
  <c r="G120" i="6"/>
  <c r="K120" i="6"/>
  <c r="L120" i="6" s="1"/>
  <c r="N120" i="6"/>
  <c r="O120" i="6" s="1"/>
  <c r="P120" i="6"/>
  <c r="T109" i="3"/>
  <c r="F119" i="6"/>
  <c r="G119" i="6"/>
  <c r="K119" i="6"/>
  <c r="L119" i="6" s="1"/>
  <c r="N119" i="6"/>
  <c r="O119" i="6" s="1"/>
  <c r="P119" i="6"/>
  <c r="T108" i="3"/>
  <c r="F118" i="6"/>
  <c r="G118" i="6"/>
  <c r="K118" i="6"/>
  <c r="L118" i="6" s="1"/>
  <c r="N118" i="6"/>
  <c r="O118" i="6" s="1"/>
  <c r="P118" i="6"/>
  <c r="T107" i="3"/>
  <c r="F117" i="6"/>
  <c r="G117" i="6"/>
  <c r="K117" i="6"/>
  <c r="L117" i="6" s="1"/>
  <c r="N117" i="6"/>
  <c r="O117" i="6" s="1"/>
  <c r="P117" i="6"/>
  <c r="T106" i="3"/>
  <c r="F116" i="6"/>
  <c r="G116" i="6"/>
  <c r="K116" i="6"/>
  <c r="L116" i="6" s="1"/>
  <c r="N116" i="6"/>
  <c r="O116" i="6" s="1"/>
  <c r="P116" i="6"/>
  <c r="T105" i="3"/>
  <c r="F115" i="6"/>
  <c r="G115" i="6"/>
  <c r="K115" i="6"/>
  <c r="L115" i="6" s="1"/>
  <c r="N115" i="6"/>
  <c r="O115" i="6" s="1"/>
  <c r="P115" i="6"/>
  <c r="T104" i="3"/>
  <c r="F114" i="6"/>
  <c r="G114" i="6"/>
  <c r="K114" i="6"/>
  <c r="L114" i="6" s="1"/>
  <c r="N114" i="6"/>
  <c r="O114" i="6" s="1"/>
  <c r="P114" i="6"/>
  <c r="T103" i="3"/>
  <c r="F113" i="6"/>
  <c r="G113" i="6"/>
  <c r="K113" i="6"/>
  <c r="L113" i="6" s="1"/>
  <c r="N113" i="6"/>
  <c r="O113" i="6" s="1"/>
  <c r="P113" i="6"/>
  <c r="T102" i="3"/>
  <c r="F112" i="6"/>
  <c r="G112" i="6"/>
  <c r="K112" i="6" s="1"/>
  <c r="L112" i="6" s="1"/>
  <c r="F111" i="6"/>
  <c r="G111" i="6"/>
  <c r="F110" i="6"/>
  <c r="G110" i="6"/>
  <c r="K110" i="6"/>
  <c r="L110" i="6" s="1"/>
  <c r="F109" i="6"/>
  <c r="G109" i="6"/>
  <c r="F108" i="6"/>
  <c r="G108" i="6"/>
  <c r="F107" i="6"/>
  <c r="G107" i="6"/>
  <c r="K107" i="6" s="1"/>
  <c r="L107" i="6" s="1"/>
  <c r="F106" i="6"/>
  <c r="G106" i="6"/>
  <c r="F105" i="6"/>
  <c r="G105" i="6"/>
  <c r="K105" i="6"/>
  <c r="L105" i="6" s="1"/>
  <c r="F104" i="6"/>
  <c r="G104" i="6"/>
  <c r="F103" i="6"/>
  <c r="G103" i="6"/>
  <c r="F102" i="6"/>
  <c r="G102" i="6"/>
  <c r="G101" i="6"/>
  <c r="F101" i="6"/>
  <c r="K101" i="6" s="1"/>
  <c r="L101" i="6" s="1"/>
  <c r="G100" i="6"/>
  <c r="F100" i="6"/>
  <c r="K100" i="6" s="1"/>
  <c r="L100" i="6" s="1"/>
  <c r="F99" i="6"/>
  <c r="G99" i="6"/>
  <c r="K99" i="6" s="1"/>
  <c r="L99" i="6" s="1"/>
  <c r="G98" i="6"/>
  <c r="F98" i="6"/>
  <c r="K98" i="6"/>
  <c r="L98" i="6" s="1"/>
  <c r="P98" i="6"/>
  <c r="T87" i="3"/>
  <c r="F97" i="6"/>
  <c r="G97" i="6"/>
  <c r="K97" i="6"/>
  <c r="L97" i="6" s="1"/>
  <c r="P97" i="6"/>
  <c r="T86" i="3"/>
  <c r="F96" i="6"/>
  <c r="G96" i="6"/>
  <c r="K96" i="6"/>
  <c r="L96" i="6" s="1"/>
  <c r="N96" i="6"/>
  <c r="O96" i="6" s="1"/>
  <c r="P96" i="6"/>
  <c r="T85" i="3"/>
  <c r="F95" i="6"/>
  <c r="G95" i="6"/>
  <c r="K95" i="6"/>
  <c r="L95" i="6" s="1"/>
  <c r="F94" i="6"/>
  <c r="K94" i="6" s="1"/>
  <c r="L94" i="6" s="1"/>
  <c r="G94" i="6"/>
  <c r="F93" i="6"/>
  <c r="K93" i="6" s="1"/>
  <c r="L93" i="6" s="1"/>
  <c r="G93" i="6"/>
  <c r="F92" i="6"/>
  <c r="K92" i="6" s="1"/>
  <c r="L92" i="6" s="1"/>
  <c r="G92" i="6"/>
  <c r="F91" i="6"/>
  <c r="K91" i="6" s="1"/>
  <c r="L91" i="6" s="1"/>
  <c r="G91" i="6"/>
  <c r="F90" i="6"/>
  <c r="K90" i="6" s="1"/>
  <c r="L90" i="6" s="1"/>
  <c r="G90" i="6"/>
  <c r="F89" i="6"/>
  <c r="K89" i="6" s="1"/>
  <c r="L89" i="6" s="1"/>
  <c r="G89" i="6"/>
  <c r="F88" i="6"/>
  <c r="K88" i="6" s="1"/>
  <c r="L88" i="6" s="1"/>
  <c r="G88" i="6"/>
  <c r="F87" i="6"/>
  <c r="K87" i="6" s="1"/>
  <c r="L87" i="6" s="1"/>
  <c r="G87" i="6"/>
  <c r="F86" i="6"/>
  <c r="K86" i="6" s="1"/>
  <c r="L86" i="6" s="1"/>
  <c r="G86" i="6"/>
  <c r="F85" i="6"/>
  <c r="K85" i="6" s="1"/>
  <c r="L85" i="6" s="1"/>
  <c r="G85" i="6"/>
  <c r="F84" i="6"/>
  <c r="G84" i="6"/>
  <c r="K84" i="6"/>
  <c r="L84" i="6" s="1"/>
  <c r="P84" i="6"/>
  <c r="T73" i="3"/>
  <c r="F83" i="6"/>
  <c r="G83" i="6"/>
  <c r="K83" i="6"/>
  <c r="L83" i="6" s="1"/>
  <c r="P83" i="6"/>
  <c r="T72" i="3"/>
  <c r="F82" i="6"/>
  <c r="G82" i="6"/>
  <c r="K82" i="6"/>
  <c r="L82" i="6" s="1"/>
  <c r="P82" i="6"/>
  <c r="T71" i="3"/>
  <c r="F81" i="6"/>
  <c r="G81" i="6"/>
  <c r="K81" i="6"/>
  <c r="L81" i="6" s="1"/>
  <c r="P81" i="6"/>
  <c r="T70" i="3"/>
  <c r="F80" i="6"/>
  <c r="G80" i="6"/>
  <c r="K80" i="6"/>
  <c r="L80" i="6" s="1"/>
  <c r="P80" i="6"/>
  <c r="T69" i="3"/>
  <c r="F79" i="6"/>
  <c r="G79" i="6"/>
  <c r="K79" i="6"/>
  <c r="L79" i="6" s="1"/>
  <c r="P79" i="6"/>
  <c r="T68" i="3"/>
  <c r="F78" i="6"/>
  <c r="G78" i="6"/>
  <c r="K78" i="6"/>
  <c r="L78" i="6" s="1"/>
  <c r="P78" i="6"/>
  <c r="T67" i="3"/>
  <c r="F77" i="6"/>
  <c r="G77" i="6"/>
  <c r="K77" i="6"/>
  <c r="L77" i="6" s="1"/>
  <c r="P77" i="6"/>
  <c r="T66" i="3"/>
  <c r="F76" i="6"/>
  <c r="G76" i="6"/>
  <c r="K76" i="6"/>
  <c r="L76" i="6" s="1"/>
  <c r="P76" i="6"/>
  <c r="T65" i="3"/>
  <c r="F75" i="6"/>
  <c r="G75" i="6"/>
  <c r="K75" i="6"/>
  <c r="L75" i="6" s="1"/>
  <c r="P75" i="6"/>
  <c r="T64" i="3"/>
  <c r="F74" i="6"/>
  <c r="G74" i="6"/>
  <c r="K74" i="6"/>
  <c r="L74" i="6" s="1"/>
  <c r="P74" i="6"/>
  <c r="T63" i="3"/>
  <c r="F73" i="6"/>
  <c r="G73" i="6"/>
  <c r="K73" i="6"/>
  <c r="L73" i="6" s="1"/>
  <c r="P73" i="6"/>
  <c r="T62" i="3"/>
  <c r="F72" i="6"/>
  <c r="G72" i="6"/>
  <c r="K72" i="6"/>
  <c r="L72" i="6" s="1"/>
  <c r="P72" i="6"/>
  <c r="T61" i="3"/>
  <c r="F71" i="6"/>
  <c r="G71" i="6"/>
  <c r="K71" i="6"/>
  <c r="L71" i="6" s="1"/>
  <c r="P71" i="6"/>
  <c r="T60" i="3"/>
  <c r="F70" i="6"/>
  <c r="G70" i="6"/>
  <c r="K70" i="6"/>
  <c r="L70" i="6" s="1"/>
  <c r="P70" i="6"/>
  <c r="T59" i="3"/>
  <c r="F69" i="6"/>
  <c r="G69" i="6"/>
  <c r="F68" i="6"/>
  <c r="G68" i="6"/>
  <c r="K68" i="6" s="1"/>
  <c r="L68" i="6" s="1"/>
  <c r="F67" i="6"/>
  <c r="G67" i="6"/>
  <c r="K67" i="6" s="1"/>
  <c r="L67" i="6" s="1"/>
  <c r="F66" i="6"/>
  <c r="G66" i="6"/>
  <c r="F65" i="6"/>
  <c r="G65" i="6"/>
  <c r="F64" i="6"/>
  <c r="G64" i="6"/>
  <c r="K64" i="6"/>
  <c r="L64" i="6" s="1"/>
  <c r="P64" i="6"/>
  <c r="T53" i="3"/>
  <c r="F63" i="6"/>
  <c r="G63" i="6"/>
  <c r="K63" i="6"/>
  <c r="L63" i="6" s="1"/>
  <c r="T52" i="3" s="1"/>
  <c r="P63" i="6"/>
  <c r="F62" i="6"/>
  <c r="G62" i="6"/>
  <c r="K62" i="6"/>
  <c r="L62" i="6" s="1"/>
  <c r="P62" i="6"/>
  <c r="T51" i="3"/>
  <c r="F61" i="6"/>
  <c r="G61" i="6"/>
  <c r="K61" i="6"/>
  <c r="L61" i="6" s="1"/>
  <c r="P61" i="6"/>
  <c r="T50" i="3"/>
  <c r="F60" i="6"/>
  <c r="G60" i="6"/>
  <c r="K60" i="6"/>
  <c r="L60" i="6" s="1"/>
  <c r="P60" i="6"/>
  <c r="T49" i="3"/>
  <c r="F59" i="6"/>
  <c r="G59" i="6"/>
  <c r="K59" i="6"/>
  <c r="L59" i="6" s="1"/>
  <c r="P59" i="6"/>
  <c r="T48" i="3"/>
  <c r="F58" i="6"/>
  <c r="G58" i="6"/>
  <c r="K58" i="6"/>
  <c r="L58" i="6" s="1"/>
  <c r="P58" i="6"/>
  <c r="T47" i="3"/>
  <c r="F57" i="6"/>
  <c r="G57" i="6"/>
  <c r="K57" i="6"/>
  <c r="L57" i="6" s="1"/>
  <c r="P57" i="6"/>
  <c r="T46" i="3"/>
  <c r="F56" i="6"/>
  <c r="G56" i="6"/>
  <c r="K56" i="6"/>
  <c r="L56" i="6" s="1"/>
  <c r="P56" i="6"/>
  <c r="T45" i="3"/>
  <c r="F55" i="6"/>
  <c r="G55" i="6"/>
  <c r="K55" i="6"/>
  <c r="L55" i="6" s="1"/>
  <c r="P55" i="6"/>
  <c r="T44" i="3"/>
  <c r="F54" i="6"/>
  <c r="G54" i="6"/>
  <c r="K54" i="6"/>
  <c r="L54" i="6" s="1"/>
  <c r="P54" i="6"/>
  <c r="T43" i="3"/>
  <c r="F53" i="6"/>
  <c r="G53" i="6"/>
  <c r="K53" i="6"/>
  <c r="L53" i="6" s="1"/>
  <c r="P53" i="6"/>
  <c r="T42" i="3"/>
  <c r="F52" i="6"/>
  <c r="G52" i="6"/>
  <c r="K52" i="6"/>
  <c r="L52" i="6" s="1"/>
  <c r="P52" i="6"/>
  <c r="T41" i="3"/>
  <c r="F51" i="6"/>
  <c r="G51" i="6"/>
  <c r="K51" i="6"/>
  <c r="L51" i="6" s="1"/>
  <c r="P51" i="6"/>
  <c r="T40" i="3"/>
  <c r="F50" i="6"/>
  <c r="G50" i="6"/>
  <c r="K50" i="6"/>
  <c r="L50" i="6" s="1"/>
  <c r="P50" i="6"/>
  <c r="T39" i="3"/>
  <c r="F49" i="6"/>
  <c r="G49" i="6"/>
  <c r="K49" i="6"/>
  <c r="L49" i="6" s="1"/>
  <c r="P49" i="6"/>
  <c r="T38" i="3"/>
  <c r="F48" i="6"/>
  <c r="G48" i="6"/>
  <c r="K48" i="6"/>
  <c r="L48" i="6" s="1"/>
  <c r="F46" i="6"/>
  <c r="G46" i="6"/>
  <c r="K46" i="6"/>
  <c r="L46" i="6" s="1"/>
  <c r="F45" i="6"/>
  <c r="G45" i="6"/>
  <c r="K45" i="6"/>
  <c r="L45" i="6" s="1"/>
  <c r="F44" i="6"/>
  <c r="G44" i="6"/>
  <c r="K44" i="6"/>
  <c r="L44" i="6" s="1"/>
  <c r="F43" i="6"/>
  <c r="G43" i="6"/>
  <c r="K43" i="6"/>
  <c r="L43" i="6" s="1"/>
  <c r="F42" i="6"/>
  <c r="G42" i="6"/>
  <c r="K42" i="6"/>
  <c r="L42" i="6" s="1"/>
  <c r="F41" i="6"/>
  <c r="G41" i="6"/>
  <c r="K41" i="6"/>
  <c r="L41" i="6" s="1"/>
  <c r="F40" i="6"/>
  <c r="G40" i="6"/>
  <c r="K40" i="6"/>
  <c r="L40" i="6" s="1"/>
  <c r="P40" i="6"/>
  <c r="T29" i="3"/>
  <c r="F39" i="6"/>
  <c r="G39" i="6"/>
  <c r="K39" i="6"/>
  <c r="L39" i="6" s="1"/>
  <c r="P39" i="6"/>
  <c r="T28" i="3"/>
  <c r="F38" i="6"/>
  <c r="G38" i="6"/>
  <c r="K38" i="6"/>
  <c r="L38" i="6" s="1"/>
  <c r="P38" i="6"/>
  <c r="T27" i="3"/>
  <c r="F37" i="6"/>
  <c r="G37" i="6"/>
  <c r="K37" i="6"/>
  <c r="L37" i="6" s="1"/>
  <c r="P37" i="6"/>
  <c r="T26" i="3"/>
  <c r="F36" i="6"/>
  <c r="G36" i="6"/>
  <c r="K36" i="6"/>
  <c r="L36" i="6" s="1"/>
  <c r="P36" i="6"/>
  <c r="T25" i="3"/>
  <c r="F35" i="6"/>
  <c r="G35" i="6"/>
  <c r="K35" i="6"/>
  <c r="L35" i="6" s="1"/>
  <c r="P35" i="6"/>
  <c r="T24" i="3"/>
  <c r="F34" i="6"/>
  <c r="G34" i="6"/>
  <c r="K34" i="6"/>
  <c r="L34" i="6" s="1"/>
  <c r="P34" i="6"/>
  <c r="T23" i="3"/>
  <c r="F33" i="6"/>
  <c r="G33" i="6"/>
  <c r="K33" i="6"/>
  <c r="L33" i="6" s="1"/>
  <c r="P33" i="6"/>
  <c r="T22" i="3"/>
  <c r="F32" i="6"/>
  <c r="G32" i="6"/>
  <c r="K32" i="6"/>
  <c r="L32" i="6" s="1"/>
  <c r="P32" i="6"/>
  <c r="T21" i="3"/>
  <c r="F31" i="6"/>
  <c r="G31" i="6"/>
  <c r="K31" i="6"/>
  <c r="L31" i="6" s="1"/>
  <c r="G30" i="6"/>
  <c r="F30" i="6"/>
  <c r="K30" i="6" s="1"/>
  <c r="L30" i="6" s="1"/>
  <c r="G29" i="6"/>
  <c r="F29" i="6"/>
  <c r="K29" i="6" s="1"/>
  <c r="L29" i="6" s="1"/>
  <c r="F28" i="6"/>
  <c r="G28" i="6"/>
  <c r="F27" i="6"/>
  <c r="G27" i="6"/>
  <c r="K27" i="6" s="1"/>
  <c r="L27" i="6" s="1"/>
  <c r="G26" i="6"/>
  <c r="F26" i="6"/>
  <c r="K26" i="6" s="1"/>
  <c r="L26" i="6" s="1"/>
  <c r="F25" i="6"/>
  <c r="G25" i="6"/>
  <c r="K25" i="6" s="1"/>
  <c r="L25" i="6" s="1"/>
  <c r="G24" i="6"/>
  <c r="F24" i="6"/>
  <c r="K24" i="6" s="1"/>
  <c r="L24" i="6" s="1"/>
  <c r="G23" i="6"/>
  <c r="F23" i="6"/>
  <c r="K23" i="6" s="1"/>
  <c r="L23" i="6" s="1"/>
  <c r="F22" i="6"/>
  <c r="G22" i="6"/>
  <c r="K22" i="6"/>
  <c r="L22" i="6" s="1"/>
  <c r="F21" i="6"/>
  <c r="G21" i="6"/>
  <c r="K21" i="6"/>
  <c r="L21" i="6" s="1"/>
  <c r="F20" i="6"/>
  <c r="G20" i="6"/>
  <c r="K20" i="6" s="1"/>
  <c r="L20" i="6" s="1"/>
  <c r="F19" i="6"/>
  <c r="G19" i="6"/>
  <c r="K19" i="6"/>
  <c r="L19" i="6" s="1"/>
  <c r="T8" i="3" s="1"/>
  <c r="F18" i="6"/>
  <c r="G18" i="6"/>
  <c r="K18" i="6" s="1"/>
  <c r="L18" i="6" s="1"/>
  <c r="F17" i="6"/>
  <c r="G17" i="6"/>
  <c r="K17" i="6" s="1"/>
  <c r="F16" i="6"/>
  <c r="K16" i="6" s="1"/>
  <c r="L16" i="6" s="1"/>
  <c r="G16" i="6"/>
  <c r="F15" i="6"/>
  <c r="G15" i="6"/>
  <c r="K15" i="6" s="1"/>
  <c r="L15" i="6" s="1"/>
  <c r="F14" i="6"/>
  <c r="K14" i="6" s="1"/>
  <c r="L14" i="6" s="1"/>
  <c r="G14" i="6"/>
  <c r="J247" i="6"/>
  <c r="M246" i="6"/>
  <c r="N246" i="6" s="1"/>
  <c r="O246" i="6" s="1"/>
  <c r="K242" i="4"/>
  <c r="M245" i="6"/>
  <c r="N245" i="6" s="1"/>
  <c r="O245" i="6" s="1"/>
  <c r="K241" i="4"/>
  <c r="M244" i="6"/>
  <c r="N244" i="6" s="1"/>
  <c r="O244" i="6" s="1"/>
  <c r="K240" i="4"/>
  <c r="M243" i="6"/>
  <c r="K239" i="4"/>
  <c r="M242" i="6"/>
  <c r="K238" i="4"/>
  <c r="M241" i="6"/>
  <c r="K237" i="4"/>
  <c r="M240" i="6"/>
  <c r="K236" i="4"/>
  <c r="M239" i="6"/>
  <c r="K235" i="4"/>
  <c r="M238" i="6"/>
  <c r="K234" i="4"/>
  <c r="M237" i="6"/>
  <c r="K233" i="4"/>
  <c r="M236" i="6"/>
  <c r="K232" i="4"/>
  <c r="M235" i="6"/>
  <c r="K231" i="4"/>
  <c r="M234" i="6"/>
  <c r="K230" i="4"/>
  <c r="M233" i="6"/>
  <c r="K229" i="4"/>
  <c r="M232" i="6"/>
  <c r="K228" i="4"/>
  <c r="M231" i="6"/>
  <c r="K227" i="4"/>
  <c r="M230" i="6"/>
  <c r="K226" i="4"/>
  <c r="M229" i="6"/>
  <c r="K225" i="4"/>
  <c r="M228" i="6"/>
  <c r="K224" i="4"/>
  <c r="M227" i="6"/>
  <c r="K223" i="4"/>
  <c r="M226" i="6"/>
  <c r="N226" i="6" s="1"/>
  <c r="O226" i="6" s="1"/>
  <c r="K222" i="4"/>
  <c r="M225" i="6"/>
  <c r="N225" i="6" s="1"/>
  <c r="O225" i="6" s="1"/>
  <c r="K221" i="4"/>
  <c r="M224" i="6"/>
  <c r="N224" i="6" s="1"/>
  <c r="O224" i="6" s="1"/>
  <c r="K220" i="4"/>
  <c r="M223" i="6"/>
  <c r="N223" i="6" s="1"/>
  <c r="O223" i="6" s="1"/>
  <c r="K219" i="4"/>
  <c r="M222" i="6"/>
  <c r="N222" i="6" s="1"/>
  <c r="O222" i="6" s="1"/>
  <c r="K218" i="4"/>
  <c r="M221" i="6"/>
  <c r="N221" i="6" s="1"/>
  <c r="O221" i="6" s="1"/>
  <c r="K217" i="4"/>
  <c r="M220" i="6"/>
  <c r="N220" i="6" s="1"/>
  <c r="O220" i="6" s="1"/>
  <c r="K216" i="4"/>
  <c r="M219" i="6"/>
  <c r="N219" i="6" s="1"/>
  <c r="O219" i="6" s="1"/>
  <c r="K215" i="4"/>
  <c r="M218" i="6"/>
  <c r="N218" i="6" s="1"/>
  <c r="O218" i="6" s="1"/>
  <c r="K214" i="4"/>
  <c r="M217" i="6"/>
  <c r="N217" i="6" s="1"/>
  <c r="O217" i="6" s="1"/>
  <c r="K213" i="4"/>
  <c r="M216" i="6"/>
  <c r="N216" i="6" s="1"/>
  <c r="O216" i="6" s="1"/>
  <c r="K212" i="4"/>
  <c r="M215" i="6"/>
  <c r="N215" i="6" s="1"/>
  <c r="O215" i="6" s="1"/>
  <c r="K211" i="4"/>
  <c r="M214" i="6"/>
  <c r="N214" i="6" s="1"/>
  <c r="O214" i="6" s="1"/>
  <c r="K210" i="4"/>
  <c r="M213" i="6"/>
  <c r="N213" i="6" s="1"/>
  <c r="O213" i="6" s="1"/>
  <c r="K209" i="4"/>
  <c r="M212" i="6"/>
  <c r="K208" i="4"/>
  <c r="M211" i="6"/>
  <c r="N211" i="6" s="1"/>
  <c r="O211" i="6" s="1"/>
  <c r="K207" i="4"/>
  <c r="M210" i="6"/>
  <c r="N210" i="6" s="1"/>
  <c r="O210" i="6" s="1"/>
  <c r="K206" i="4"/>
  <c r="M209" i="6"/>
  <c r="N209" i="6" s="1"/>
  <c r="O209" i="6" s="1"/>
  <c r="K205" i="4"/>
  <c r="M208" i="6"/>
  <c r="N208" i="6" s="1"/>
  <c r="O208" i="6" s="1"/>
  <c r="K204" i="4"/>
  <c r="M207" i="6"/>
  <c r="N207" i="6" s="1"/>
  <c r="O207" i="6" s="1"/>
  <c r="K203" i="4"/>
  <c r="M206" i="6"/>
  <c r="N206" i="6" s="1"/>
  <c r="O206" i="6" s="1"/>
  <c r="K202" i="4"/>
  <c r="M205" i="6"/>
  <c r="N205" i="6" s="1"/>
  <c r="O205" i="6" s="1"/>
  <c r="K201" i="4"/>
  <c r="K200" i="4"/>
  <c r="M204" i="6"/>
  <c r="N204" i="6" s="1"/>
  <c r="O204" i="6" s="1"/>
  <c r="M203" i="6"/>
  <c r="N203" i="6" s="1"/>
  <c r="O203" i="6" s="1"/>
  <c r="K199" i="4"/>
  <c r="M202" i="6"/>
  <c r="N202" i="6" s="1"/>
  <c r="O202" i="6" s="1"/>
  <c r="K198" i="4"/>
  <c r="M201" i="6"/>
  <c r="K197" i="4"/>
  <c r="M200" i="6"/>
  <c r="K196" i="4"/>
  <c r="M199" i="6"/>
  <c r="K195" i="4"/>
  <c r="M198" i="6"/>
  <c r="K194" i="4"/>
  <c r="M197" i="6"/>
  <c r="K193" i="4"/>
  <c r="M196" i="6"/>
  <c r="K192" i="4"/>
  <c r="M195" i="6"/>
  <c r="K191" i="4"/>
  <c r="M194" i="6"/>
  <c r="K190" i="4"/>
  <c r="M193" i="6"/>
  <c r="K189" i="4"/>
  <c r="M192" i="6"/>
  <c r="N192" i="6" s="1"/>
  <c r="O192" i="6" s="1"/>
  <c r="K188" i="4"/>
  <c r="M191" i="6"/>
  <c r="N191" i="6" s="1"/>
  <c r="O191" i="6" s="1"/>
  <c r="K187" i="4"/>
  <c r="M190" i="6"/>
  <c r="N190" i="6" s="1"/>
  <c r="O190" i="6" s="1"/>
  <c r="K186" i="4"/>
  <c r="M189" i="6"/>
  <c r="N189" i="6" s="1"/>
  <c r="O189" i="6" s="1"/>
  <c r="K185" i="4"/>
  <c r="M188" i="6"/>
  <c r="N188" i="6" s="1"/>
  <c r="O188" i="6" s="1"/>
  <c r="K184" i="4"/>
  <c r="M187" i="6"/>
  <c r="N187" i="6" s="1"/>
  <c r="O187" i="6" s="1"/>
  <c r="K183" i="4"/>
  <c r="M186" i="6"/>
  <c r="N186" i="6" s="1"/>
  <c r="O186" i="6" s="1"/>
  <c r="K182" i="4"/>
  <c r="M185" i="6"/>
  <c r="N185" i="6" s="1"/>
  <c r="O185" i="6" s="1"/>
  <c r="K181" i="4"/>
  <c r="M184" i="6"/>
  <c r="N184" i="6" s="1"/>
  <c r="O184" i="6" s="1"/>
  <c r="K180" i="4"/>
  <c r="M183" i="6"/>
  <c r="N183" i="6" s="1"/>
  <c r="O183" i="6" s="1"/>
  <c r="K179" i="4"/>
  <c r="M182" i="6"/>
  <c r="N182" i="6" s="1"/>
  <c r="O182" i="6" s="1"/>
  <c r="K178" i="4"/>
  <c r="M181" i="6"/>
  <c r="N181" i="6" s="1"/>
  <c r="O181" i="6" s="1"/>
  <c r="K177" i="4"/>
  <c r="M180" i="6"/>
  <c r="N180" i="6" s="1"/>
  <c r="O180" i="6" s="1"/>
  <c r="K176" i="4"/>
  <c r="M179" i="6"/>
  <c r="N179" i="6" s="1"/>
  <c r="O179" i="6" s="1"/>
  <c r="K175" i="4"/>
  <c r="M178" i="6"/>
  <c r="K174" i="4"/>
  <c r="M177" i="6"/>
  <c r="K173" i="4"/>
  <c r="M176" i="6"/>
  <c r="K172" i="4"/>
  <c r="M175" i="6"/>
  <c r="K171" i="4"/>
  <c r="M174" i="6"/>
  <c r="K170" i="4"/>
  <c r="M173" i="6"/>
  <c r="K169" i="4"/>
  <c r="M172" i="6"/>
  <c r="K168" i="4"/>
  <c r="M171" i="6"/>
  <c r="K167" i="4"/>
  <c r="M170" i="6"/>
  <c r="K166" i="4"/>
  <c r="M169" i="6"/>
  <c r="K165" i="4"/>
  <c r="M168" i="6"/>
  <c r="K164" i="4"/>
  <c r="M167" i="6"/>
  <c r="N167" i="6" s="1"/>
  <c r="O167" i="6" s="1"/>
  <c r="K163" i="4"/>
  <c r="M166" i="6"/>
  <c r="K162" i="4"/>
  <c r="M165" i="6"/>
  <c r="K161" i="4"/>
  <c r="M164" i="6"/>
  <c r="K160" i="4"/>
  <c r="M163" i="6"/>
  <c r="K159" i="4"/>
  <c r="M162" i="6"/>
  <c r="K158" i="4"/>
  <c r="M161" i="6"/>
  <c r="K157" i="4"/>
  <c r="M160" i="6"/>
  <c r="K156" i="4"/>
  <c r="M159" i="6"/>
  <c r="K155" i="4"/>
  <c r="M158" i="6"/>
  <c r="K154" i="4"/>
  <c r="M157" i="6"/>
  <c r="K153" i="4"/>
  <c r="M156" i="6"/>
  <c r="K152" i="4"/>
  <c r="M155" i="6"/>
  <c r="K151" i="4"/>
  <c r="M154" i="6"/>
  <c r="K150" i="4"/>
  <c r="M153" i="6"/>
  <c r="K149" i="4"/>
  <c r="M152" i="6"/>
  <c r="K148" i="4"/>
  <c r="M151" i="6"/>
  <c r="K147" i="4"/>
  <c r="M150" i="6"/>
  <c r="K146" i="4"/>
  <c r="M149" i="6"/>
  <c r="K145" i="4"/>
  <c r="M148" i="6"/>
  <c r="K144" i="4"/>
  <c r="M147" i="6"/>
  <c r="K143" i="4"/>
  <c r="M146" i="6"/>
  <c r="K142" i="4"/>
  <c r="M145" i="6"/>
  <c r="K141" i="4"/>
  <c r="K140" i="4"/>
  <c r="M144" i="6"/>
  <c r="M143" i="6"/>
  <c r="K139" i="4"/>
  <c r="M142" i="6"/>
  <c r="K138" i="4"/>
  <c r="M141" i="6"/>
  <c r="K137" i="4"/>
  <c r="M140" i="6"/>
  <c r="K136" i="4"/>
  <c r="M139" i="6"/>
  <c r="K135" i="4"/>
  <c r="M138" i="6"/>
  <c r="K134" i="4"/>
  <c r="M137" i="6"/>
  <c r="K133" i="4"/>
  <c r="M136" i="6"/>
  <c r="K132" i="4"/>
  <c r="M135" i="6"/>
  <c r="K131" i="4"/>
  <c r="M134" i="6"/>
  <c r="K130" i="4"/>
  <c r="M133" i="6"/>
  <c r="K129" i="4"/>
  <c r="M132" i="6"/>
  <c r="K128" i="4"/>
  <c r="M131" i="6"/>
  <c r="K127" i="4"/>
  <c r="M129" i="6"/>
  <c r="K125" i="4"/>
  <c r="M128" i="6"/>
  <c r="K124" i="4"/>
  <c r="M127" i="6"/>
  <c r="K123" i="4"/>
  <c r="M126" i="6"/>
  <c r="K122" i="4"/>
  <c r="M125" i="6"/>
  <c r="K121" i="4"/>
  <c r="M124" i="6"/>
  <c r="K120" i="4"/>
  <c r="M123" i="6"/>
  <c r="N123" i="6" s="1"/>
  <c r="O123" i="6" s="1"/>
  <c r="K119" i="4"/>
  <c r="M122" i="6"/>
  <c r="K118" i="4"/>
  <c r="M121" i="6"/>
  <c r="K117" i="4"/>
  <c r="M120" i="6"/>
  <c r="K116" i="4"/>
  <c r="M119" i="6"/>
  <c r="K115" i="4"/>
  <c r="M118" i="6"/>
  <c r="K114" i="4"/>
  <c r="M117" i="6"/>
  <c r="K113" i="4"/>
  <c r="M116" i="6"/>
  <c r="K112" i="4"/>
  <c r="M115" i="6"/>
  <c r="K111" i="4"/>
  <c r="M114" i="6"/>
  <c r="K110" i="4"/>
  <c r="M113" i="6"/>
  <c r="K109" i="4"/>
  <c r="M112" i="6"/>
  <c r="K108" i="4"/>
  <c r="M111" i="6"/>
  <c r="K107" i="4"/>
  <c r="M110" i="6"/>
  <c r="K106" i="4"/>
  <c r="M109" i="6"/>
  <c r="K105" i="4"/>
  <c r="M108" i="6"/>
  <c r="K104" i="4"/>
  <c r="M107" i="6"/>
  <c r="K103" i="4"/>
  <c r="M106" i="6"/>
  <c r="K102" i="4"/>
  <c r="M105" i="6"/>
  <c r="K101" i="4"/>
  <c r="M104" i="6"/>
  <c r="K100" i="4"/>
  <c r="M103" i="6"/>
  <c r="K99" i="4"/>
  <c r="M102" i="6"/>
  <c r="K98" i="4"/>
  <c r="M101" i="6"/>
  <c r="K97" i="4"/>
  <c r="M100" i="6"/>
  <c r="K96" i="4"/>
  <c r="M99" i="6"/>
  <c r="K95" i="4"/>
  <c r="M98" i="6"/>
  <c r="K94" i="4"/>
  <c r="M97" i="6"/>
  <c r="K93" i="4"/>
  <c r="M96" i="6"/>
  <c r="K92" i="4"/>
  <c r="M95" i="6"/>
  <c r="K91" i="4"/>
  <c r="M94" i="6"/>
  <c r="K90" i="4"/>
  <c r="M93" i="6"/>
  <c r="K89" i="4"/>
  <c r="M92" i="6"/>
  <c r="K88" i="4"/>
  <c r="M91" i="6"/>
  <c r="K87" i="4"/>
  <c r="M90" i="6"/>
  <c r="K86" i="4"/>
  <c r="M89" i="6"/>
  <c r="K85" i="4"/>
  <c r="M88" i="6"/>
  <c r="K84" i="4"/>
  <c r="M87" i="6"/>
  <c r="K83" i="4"/>
  <c r="M86" i="6"/>
  <c r="K82" i="4"/>
  <c r="M85" i="6"/>
  <c r="K81" i="4"/>
  <c r="U9" i="4"/>
  <c r="R9" i="4"/>
  <c r="M84" i="6"/>
  <c r="N84" i="6" s="1"/>
  <c r="O84" i="6" s="1"/>
  <c r="T9" i="4"/>
  <c r="S9" i="4"/>
  <c r="K80" i="4"/>
  <c r="M83" i="6"/>
  <c r="N83" i="6" s="1"/>
  <c r="O83" i="6" s="1"/>
  <c r="K79" i="4"/>
  <c r="M82" i="6"/>
  <c r="N82" i="6" s="1"/>
  <c r="O82" i="6" s="1"/>
  <c r="K78" i="4"/>
  <c r="M81" i="6"/>
  <c r="N81" i="6" s="1"/>
  <c r="O81" i="6" s="1"/>
  <c r="K77" i="4"/>
  <c r="M80" i="6"/>
  <c r="N80" i="6" s="1"/>
  <c r="O80" i="6" s="1"/>
  <c r="K76" i="4"/>
  <c r="M79" i="6"/>
  <c r="N79" i="6" s="1"/>
  <c r="O79" i="6" s="1"/>
  <c r="K75" i="4"/>
  <c r="M78" i="6"/>
  <c r="N78" i="6" s="1"/>
  <c r="O78" i="6" s="1"/>
  <c r="K74" i="4"/>
  <c r="K73" i="4"/>
  <c r="M77" i="6"/>
  <c r="N77" i="6" s="1"/>
  <c r="O77" i="6" s="1"/>
  <c r="M76" i="6"/>
  <c r="N76" i="6" s="1"/>
  <c r="O76" i="6" s="1"/>
  <c r="K72" i="4"/>
  <c r="M75" i="6"/>
  <c r="N75" i="6" s="1"/>
  <c r="O75" i="6" s="1"/>
  <c r="K71" i="4"/>
  <c r="M74" i="6"/>
  <c r="N74" i="6" s="1"/>
  <c r="O74" i="6" s="1"/>
  <c r="K70" i="4"/>
  <c r="M73" i="6"/>
  <c r="N73" i="6" s="1"/>
  <c r="O73" i="6" s="1"/>
  <c r="K69" i="4"/>
  <c r="M72" i="6"/>
  <c r="N72" i="6" s="1"/>
  <c r="O72" i="6" s="1"/>
  <c r="K68" i="4"/>
  <c r="M71" i="6"/>
  <c r="N71" i="6" s="1"/>
  <c r="O71" i="6" s="1"/>
  <c r="K67" i="4"/>
  <c r="M70" i="6"/>
  <c r="N70" i="6" s="1"/>
  <c r="O70" i="6" s="1"/>
  <c r="K66" i="4"/>
  <c r="M69" i="6"/>
  <c r="K65" i="4"/>
  <c r="M68" i="6"/>
  <c r="K64" i="4"/>
  <c r="M67" i="6"/>
  <c r="K63" i="4"/>
  <c r="M66" i="6"/>
  <c r="K62" i="4"/>
  <c r="M65" i="6"/>
  <c r="K61" i="4"/>
  <c r="M64" i="6"/>
  <c r="N64" i="6" s="1"/>
  <c r="O64" i="6" s="1"/>
  <c r="K60" i="4"/>
  <c r="M49" i="6"/>
  <c r="N49" i="6" s="1"/>
  <c r="O49" i="6" s="1"/>
  <c r="K45" i="4"/>
  <c r="M48" i="6"/>
  <c r="N48" i="6" s="1"/>
  <c r="O48" i="6" s="1"/>
  <c r="K44" i="4"/>
  <c r="M47" i="6"/>
  <c r="K43" i="4"/>
  <c r="T7" i="4"/>
  <c r="S7" i="4"/>
  <c r="M46" i="6"/>
  <c r="N46" i="6" s="1"/>
  <c r="O46" i="6" s="1"/>
  <c r="R7" i="4"/>
  <c r="U7" i="4"/>
  <c r="K42" i="4"/>
  <c r="M45" i="6"/>
  <c r="N45" i="6" s="1"/>
  <c r="O45" i="6" s="1"/>
  <c r="K41" i="4"/>
  <c r="M44" i="6"/>
  <c r="N44" i="6" s="1"/>
  <c r="O44" i="6" s="1"/>
  <c r="K40" i="4"/>
  <c r="M43" i="6"/>
  <c r="N43" i="6" s="1"/>
  <c r="O43" i="6" s="1"/>
  <c r="K39" i="4"/>
  <c r="M42" i="6"/>
  <c r="N42" i="6" s="1"/>
  <c r="O42" i="6" s="1"/>
  <c r="K38" i="4"/>
  <c r="M41" i="6"/>
  <c r="N41" i="6" s="1"/>
  <c r="O41" i="6" s="1"/>
  <c r="K37" i="4"/>
  <c r="M40" i="6"/>
  <c r="N40" i="6" s="1"/>
  <c r="O40" i="6" s="1"/>
  <c r="K36" i="4"/>
  <c r="M39" i="6"/>
  <c r="N39" i="6" s="1"/>
  <c r="O39" i="6" s="1"/>
  <c r="K35" i="4"/>
  <c r="M38" i="6"/>
  <c r="N38" i="6" s="1"/>
  <c r="O38" i="6" s="1"/>
  <c r="K34" i="4"/>
  <c r="M37" i="6"/>
  <c r="K33" i="4"/>
  <c r="M36" i="6"/>
  <c r="K32" i="4"/>
  <c r="M35" i="6"/>
  <c r="K31" i="4"/>
  <c r="M34" i="6"/>
  <c r="K30" i="4"/>
  <c r="M33" i="6"/>
  <c r="K29" i="4"/>
  <c r="M32" i="6"/>
  <c r="K28" i="4"/>
  <c r="M31" i="6"/>
  <c r="K27" i="4"/>
  <c r="M30" i="6"/>
  <c r="K26" i="4"/>
  <c r="M29" i="6"/>
  <c r="K25" i="4"/>
  <c r="M28" i="6"/>
  <c r="K24" i="4"/>
  <c r="M27" i="6"/>
  <c r="K23" i="4"/>
  <c r="K22" i="4"/>
  <c r="M26" i="6"/>
  <c r="K21" i="4"/>
  <c r="M25" i="6"/>
  <c r="M24" i="6"/>
  <c r="K20" i="4"/>
  <c r="M23" i="6"/>
  <c r="K19" i="4"/>
  <c r="M22" i="6"/>
  <c r="K18" i="4"/>
  <c r="M21" i="6"/>
  <c r="K17" i="4"/>
  <c r="M20" i="6"/>
  <c r="K16" i="4"/>
  <c r="M19" i="6"/>
  <c r="K15" i="4"/>
  <c r="K14" i="4"/>
  <c r="M18" i="6"/>
  <c r="M17" i="6"/>
  <c r="K13" i="4"/>
  <c r="M16" i="6"/>
  <c r="K12" i="4"/>
  <c r="M15" i="6"/>
  <c r="K11" i="4"/>
  <c r="H10" i="4"/>
  <c r="D243" i="4"/>
  <c r="M130" i="6"/>
  <c r="K126" i="4"/>
  <c r="M63" i="6"/>
  <c r="K59" i="4"/>
  <c r="M59" i="6"/>
  <c r="N59" i="6" s="1"/>
  <c r="O59" i="6" s="1"/>
  <c r="K55" i="4"/>
  <c r="K54" i="4"/>
  <c r="M58" i="6"/>
  <c r="N58" i="6" s="1"/>
  <c r="O58" i="6" s="1"/>
  <c r="M57" i="6"/>
  <c r="N57" i="6" s="1"/>
  <c r="O57" i="6" s="1"/>
  <c r="K53" i="4"/>
  <c r="M56" i="6"/>
  <c r="N56" i="6" s="1"/>
  <c r="O56" i="6" s="1"/>
  <c r="K52" i="4"/>
  <c r="M54" i="6"/>
  <c r="N54" i="6" s="1"/>
  <c r="O54" i="6" s="1"/>
  <c r="K50" i="4"/>
  <c r="M53" i="6"/>
  <c r="K49" i="4"/>
  <c r="M52" i="6"/>
  <c r="K48" i="4"/>
  <c r="M51" i="6"/>
  <c r="K47" i="4"/>
  <c r="M62" i="6"/>
  <c r="N62" i="6" s="1"/>
  <c r="O62" i="6" s="1"/>
  <c r="K58" i="4"/>
  <c r="M61" i="6"/>
  <c r="N61" i="6" s="1"/>
  <c r="O61" i="6" s="1"/>
  <c r="K57" i="4"/>
  <c r="R8" i="4"/>
  <c r="S8" i="4"/>
  <c r="M60" i="6"/>
  <c r="T8" i="4"/>
  <c r="U8" i="4"/>
  <c r="K56" i="4"/>
  <c r="M55" i="6"/>
  <c r="N55" i="6" s="1"/>
  <c r="O55" i="6" s="1"/>
  <c r="K51" i="4"/>
  <c r="M50" i="6"/>
  <c r="N50" i="6" s="1"/>
  <c r="O50" i="6" s="1"/>
  <c r="K46" i="4"/>
  <c r="S11" i="6"/>
  <c r="U9" i="2"/>
  <c r="N242" i="6" l="1"/>
  <c r="O242" i="6" s="1"/>
  <c r="N228" i="6"/>
  <c r="O228" i="6" s="1"/>
  <c r="N237" i="6"/>
  <c r="O237" i="6" s="1"/>
  <c r="N229" i="6"/>
  <c r="O229" i="6" s="1"/>
  <c r="K177" i="6"/>
  <c r="L177" i="6" s="1"/>
  <c r="K176" i="6"/>
  <c r="L176" i="6" s="1"/>
  <c r="K157" i="6"/>
  <c r="L157" i="6" s="1"/>
  <c r="K155" i="6"/>
  <c r="L155" i="6" s="1"/>
  <c r="K151" i="6"/>
  <c r="L151" i="6" s="1"/>
  <c r="K145" i="6"/>
  <c r="L145" i="6" s="1"/>
  <c r="K144" i="6"/>
  <c r="L144" i="6" s="1"/>
  <c r="N236" i="6"/>
  <c r="O236" i="6" s="1"/>
  <c r="N232" i="6"/>
  <c r="O232" i="6" s="1"/>
  <c r="K164" i="6"/>
  <c r="L164" i="6" s="1"/>
  <c r="K163" i="6"/>
  <c r="L163" i="6" s="1"/>
  <c r="K162" i="6"/>
  <c r="L162" i="6" s="1"/>
  <c r="K161" i="6"/>
  <c r="L161" i="6" s="1"/>
  <c r="K160" i="6"/>
  <c r="K159" i="6"/>
  <c r="L159" i="6" s="1"/>
  <c r="K154" i="6"/>
  <c r="L154" i="6" s="1"/>
  <c r="K152" i="6"/>
  <c r="L152" i="6" s="1"/>
  <c r="K142" i="6"/>
  <c r="L142" i="6" s="1"/>
  <c r="K141" i="6"/>
  <c r="L141" i="6" s="1"/>
  <c r="K140" i="6"/>
  <c r="L140" i="6" s="1"/>
  <c r="K139" i="6"/>
  <c r="L139" i="6" s="1"/>
  <c r="N243" i="6"/>
  <c r="O243" i="6" s="1"/>
  <c r="N238" i="6"/>
  <c r="O238" i="6" s="1"/>
  <c r="N234" i="6"/>
  <c r="O234" i="6" s="1"/>
  <c r="K111" i="6"/>
  <c r="L111" i="6" s="1"/>
  <c r="K109" i="6"/>
  <c r="L109" i="6" s="1"/>
  <c r="K108" i="6"/>
  <c r="L108" i="6" s="1"/>
  <c r="K106" i="6"/>
  <c r="L106" i="6" s="1"/>
  <c r="K104" i="6"/>
  <c r="L104" i="6" s="1"/>
  <c r="K103" i="6"/>
  <c r="L103" i="6" s="1"/>
  <c r="K102" i="6"/>
  <c r="L102" i="6" s="1"/>
  <c r="N239" i="6"/>
  <c r="O239" i="6" s="1"/>
  <c r="K69" i="6"/>
  <c r="L69" i="6" s="1"/>
  <c r="K66" i="6"/>
  <c r="L66" i="6" s="1"/>
  <c r="K65" i="6"/>
  <c r="L65" i="6" s="1"/>
  <c r="N240" i="6"/>
  <c r="O240" i="6" s="1"/>
  <c r="N233" i="6"/>
  <c r="O233" i="6" s="1"/>
  <c r="N235" i="6"/>
  <c r="O235" i="6" s="1"/>
  <c r="N230" i="6"/>
  <c r="O230" i="6" s="1"/>
  <c r="K28" i="6"/>
  <c r="L28" i="6" s="1"/>
  <c r="N241" i="6"/>
  <c r="O241" i="6" s="1"/>
  <c r="N231" i="6"/>
  <c r="O231" i="6" s="1"/>
  <c r="N98" i="6"/>
  <c r="O98" i="6" s="1"/>
  <c r="N97" i="6"/>
  <c r="O97" i="6" s="1"/>
  <c r="N37" i="6"/>
  <c r="O37" i="6" s="1"/>
  <c r="N36" i="6"/>
  <c r="O36" i="6" s="1"/>
  <c r="N35" i="6"/>
  <c r="O35" i="6" s="1"/>
  <c r="N34" i="6"/>
  <c r="O34" i="6" s="1"/>
  <c r="N33" i="6"/>
  <c r="O33" i="6" s="1"/>
  <c r="N32" i="6"/>
  <c r="O32" i="6" s="1"/>
  <c r="N130" i="6"/>
  <c r="O130" i="6" s="1"/>
  <c r="N63" i="6"/>
  <c r="O63" i="6" s="1"/>
  <c r="N53" i="6"/>
  <c r="O53" i="6" s="1"/>
  <c r="N52" i="6"/>
  <c r="O52" i="6" s="1"/>
  <c r="N51" i="6"/>
  <c r="O51" i="6" s="1"/>
  <c r="P228" i="6"/>
  <c r="T217" i="3"/>
  <c r="N227" i="6"/>
  <c r="O227" i="6" s="1"/>
  <c r="T216" i="3"/>
  <c r="P227" i="6"/>
  <c r="T199" i="3"/>
  <c r="P210" i="6"/>
  <c r="N201" i="6"/>
  <c r="O201" i="6" s="1"/>
  <c r="P201" i="6"/>
  <c r="T189" i="3"/>
  <c r="N200" i="6"/>
  <c r="O200" i="6" s="1"/>
  <c r="P200" i="6"/>
  <c r="N199" i="6"/>
  <c r="O199" i="6" s="1"/>
  <c r="P199" i="6"/>
  <c r="T188" i="3"/>
  <c r="N198" i="6"/>
  <c r="O198" i="6" s="1"/>
  <c r="P198" i="6"/>
  <c r="T187" i="3"/>
  <c r="N197" i="6"/>
  <c r="O197" i="6" s="1"/>
  <c r="P197" i="6"/>
  <c r="T186" i="3"/>
  <c r="N193" i="6"/>
  <c r="O193" i="6" s="1"/>
  <c r="P193" i="6"/>
  <c r="T182" i="3"/>
  <c r="T117" i="3"/>
  <c r="P128" i="6"/>
  <c r="N128" i="6"/>
  <c r="O128" i="6" s="1"/>
  <c r="P127" i="6"/>
  <c r="T116" i="3"/>
  <c r="N127" i="6"/>
  <c r="O127" i="6" s="1"/>
  <c r="T115" i="3"/>
  <c r="P126" i="6"/>
  <c r="N126" i="6"/>
  <c r="O126" i="6" s="1"/>
  <c r="N125" i="6"/>
  <c r="O125" i="6" s="1"/>
  <c r="T114" i="3"/>
  <c r="P125" i="6"/>
  <c r="T113" i="3"/>
  <c r="P124" i="6"/>
  <c r="N124" i="6"/>
  <c r="O124" i="6" s="1"/>
  <c r="N95" i="6"/>
  <c r="O95" i="6" s="1"/>
  <c r="P95" i="6"/>
  <c r="T84" i="3"/>
  <c r="P94" i="6"/>
  <c r="N94" i="6"/>
  <c r="O94" i="6" s="1"/>
  <c r="T83" i="3"/>
  <c r="P93" i="6"/>
  <c r="T82" i="3"/>
  <c r="N93" i="6"/>
  <c r="O93" i="6" s="1"/>
  <c r="P92" i="6"/>
  <c r="T81" i="3"/>
  <c r="N92" i="6"/>
  <c r="O92" i="6" s="1"/>
  <c r="N91" i="6"/>
  <c r="O91" i="6" s="1"/>
  <c r="T80" i="3"/>
  <c r="P91" i="6"/>
  <c r="N90" i="6"/>
  <c r="O90" i="6" s="1"/>
  <c r="T79" i="3"/>
  <c r="P90" i="6"/>
  <c r="P89" i="6"/>
  <c r="T78" i="3"/>
  <c r="N89" i="6"/>
  <c r="O89" i="6" s="1"/>
  <c r="P88" i="6"/>
  <c r="T77" i="3"/>
  <c r="N88" i="6"/>
  <c r="O88" i="6" s="1"/>
  <c r="P87" i="6"/>
  <c r="N87" i="6"/>
  <c r="O87" i="6" s="1"/>
  <c r="T76" i="3"/>
  <c r="T75" i="3"/>
  <c r="N86" i="6"/>
  <c r="O86" i="6" s="1"/>
  <c r="P86" i="6"/>
  <c r="T74" i="3"/>
  <c r="P85" i="6"/>
  <c r="N85" i="6"/>
  <c r="O85" i="6" s="1"/>
  <c r="P48" i="6"/>
  <c r="T37" i="3"/>
  <c r="P46" i="6"/>
  <c r="T35" i="3"/>
  <c r="P45" i="6"/>
  <c r="T34" i="3"/>
  <c r="T33" i="3"/>
  <c r="P44" i="6"/>
  <c r="T32" i="3"/>
  <c r="P43" i="6"/>
  <c r="T31" i="3"/>
  <c r="P42" i="6"/>
  <c r="P41" i="6"/>
  <c r="T30" i="3"/>
  <c r="T36" i="3"/>
  <c r="P47" i="6"/>
  <c r="N47" i="6"/>
  <c r="O47" i="6" s="1"/>
  <c r="V10" i="6"/>
  <c r="U10" i="6"/>
  <c r="W10" i="6"/>
  <c r="T10" i="6"/>
  <c r="T88" i="3"/>
  <c r="P99" i="6"/>
  <c r="N99" i="6"/>
  <c r="O99" i="6" s="1"/>
  <c r="V9" i="6"/>
  <c r="U9" i="6"/>
  <c r="T9" i="6"/>
  <c r="W9" i="6"/>
  <c r="V8" i="6"/>
  <c r="W8" i="6"/>
  <c r="Y8" i="6" s="1"/>
  <c r="Z8" i="6" s="1"/>
  <c r="U8" i="6"/>
  <c r="T8" i="6"/>
  <c r="V7" i="6"/>
  <c r="T7" i="6"/>
  <c r="W7" i="6"/>
  <c r="Y7" i="6" s="1"/>
  <c r="Z7" i="6" s="1"/>
  <c r="U7" i="6"/>
  <c r="T16" i="3"/>
  <c r="P27" i="6"/>
  <c r="N27" i="6"/>
  <c r="O27" i="6" s="1"/>
  <c r="T14" i="3"/>
  <c r="P25" i="6"/>
  <c r="N25" i="6"/>
  <c r="O25" i="6" s="1"/>
  <c r="T12" i="3"/>
  <c r="P23" i="6"/>
  <c r="N23" i="6"/>
  <c r="O23" i="6" s="1"/>
  <c r="V6" i="6"/>
  <c r="W6" i="6"/>
  <c r="P14" i="6"/>
  <c r="T3" i="3"/>
  <c r="J10" i="4"/>
  <c r="H243" i="4"/>
  <c r="X7" i="6"/>
  <c r="G247" i="6"/>
  <c r="F247" i="6"/>
  <c r="X10" i="6"/>
  <c r="X9" i="6"/>
  <c r="P230" i="6"/>
  <c r="T219" i="3"/>
  <c r="N212" i="6"/>
  <c r="O212" i="6" s="1"/>
  <c r="P212" i="6"/>
  <c r="T201" i="3"/>
  <c r="P196" i="6"/>
  <c r="T185" i="3"/>
  <c r="N196" i="6"/>
  <c r="O196" i="6" s="1"/>
  <c r="P195" i="6"/>
  <c r="N195" i="6"/>
  <c r="O195" i="6" s="1"/>
  <c r="T184" i="3"/>
  <c r="P194" i="6"/>
  <c r="N194" i="6"/>
  <c r="O194" i="6" s="1"/>
  <c r="T183" i="3"/>
  <c r="T167" i="3"/>
  <c r="N178" i="6"/>
  <c r="O178" i="6" s="1"/>
  <c r="P178" i="6"/>
  <c r="P175" i="6"/>
  <c r="N175" i="6"/>
  <c r="O175" i="6" s="1"/>
  <c r="T164" i="3"/>
  <c r="P174" i="6"/>
  <c r="N174" i="6"/>
  <c r="O174" i="6" s="1"/>
  <c r="T163" i="3"/>
  <c r="P173" i="6"/>
  <c r="N173" i="6"/>
  <c r="O173" i="6" s="1"/>
  <c r="T162" i="3"/>
  <c r="N172" i="6"/>
  <c r="O172" i="6" s="1"/>
  <c r="T161" i="3"/>
  <c r="P172" i="6"/>
  <c r="P171" i="6"/>
  <c r="N171" i="6"/>
  <c r="O171" i="6" s="1"/>
  <c r="T160" i="3"/>
  <c r="P170" i="6"/>
  <c r="T159" i="3"/>
  <c r="N170" i="6"/>
  <c r="O170" i="6" s="1"/>
  <c r="T158" i="3"/>
  <c r="P169" i="6"/>
  <c r="N169" i="6"/>
  <c r="O169" i="6" s="1"/>
  <c r="T157" i="3"/>
  <c r="P168" i="6"/>
  <c r="N168" i="6"/>
  <c r="O168" i="6" s="1"/>
  <c r="P166" i="6"/>
  <c r="N166" i="6"/>
  <c r="O166" i="6" s="1"/>
  <c r="T155" i="3"/>
  <c r="T154" i="3"/>
  <c r="N165" i="6"/>
  <c r="O165" i="6" s="1"/>
  <c r="P165" i="6"/>
  <c r="T148" i="3"/>
  <c r="N159" i="6"/>
  <c r="O159" i="6" s="1"/>
  <c r="P159" i="6"/>
  <c r="T147" i="3"/>
  <c r="N158" i="6"/>
  <c r="O158" i="6" s="1"/>
  <c r="P158" i="6"/>
  <c r="T146" i="3"/>
  <c r="N157" i="6"/>
  <c r="O157" i="6" s="1"/>
  <c r="P157" i="6"/>
  <c r="T145" i="3"/>
  <c r="N156" i="6"/>
  <c r="O156" i="6" s="1"/>
  <c r="P156" i="6"/>
  <c r="T144" i="3"/>
  <c r="N155" i="6"/>
  <c r="O155" i="6" s="1"/>
  <c r="P155" i="6"/>
  <c r="N154" i="6"/>
  <c r="O154" i="6" s="1"/>
  <c r="T143" i="3"/>
  <c r="P154" i="6"/>
  <c r="P153" i="6"/>
  <c r="T142" i="3"/>
  <c r="N153" i="6"/>
  <c r="O153" i="6" s="1"/>
  <c r="P152" i="6"/>
  <c r="T141" i="3"/>
  <c r="N152" i="6"/>
  <c r="O152" i="6" s="1"/>
  <c r="P151" i="6"/>
  <c r="T140" i="3"/>
  <c r="N151" i="6"/>
  <c r="O151" i="6" s="1"/>
  <c r="T139" i="3"/>
  <c r="N150" i="6"/>
  <c r="O150" i="6" s="1"/>
  <c r="P150" i="6"/>
  <c r="T138" i="3"/>
  <c r="N149" i="6"/>
  <c r="O149" i="6" s="1"/>
  <c r="P149" i="6"/>
  <c r="P148" i="6"/>
  <c r="T137" i="3"/>
  <c r="N148" i="6"/>
  <c r="O148" i="6" s="1"/>
  <c r="P147" i="6"/>
  <c r="N147" i="6"/>
  <c r="O147" i="6" s="1"/>
  <c r="T136" i="3"/>
  <c r="P146" i="6"/>
  <c r="T135" i="3"/>
  <c r="N146" i="6"/>
  <c r="O146" i="6" s="1"/>
  <c r="P145" i="6"/>
  <c r="T134" i="3"/>
  <c r="N145" i="6"/>
  <c r="O145" i="6" s="1"/>
  <c r="P144" i="6"/>
  <c r="T133" i="3"/>
  <c r="N144" i="6"/>
  <c r="O144" i="6" s="1"/>
  <c r="N143" i="6"/>
  <c r="O143" i="6" s="1"/>
  <c r="T132" i="3"/>
  <c r="P143" i="6"/>
  <c r="T131" i="3"/>
  <c r="N142" i="6"/>
  <c r="O142" i="6" s="1"/>
  <c r="P142" i="6"/>
  <c r="P141" i="6"/>
  <c r="T130" i="3"/>
  <c r="N141" i="6"/>
  <c r="O141" i="6" s="1"/>
  <c r="N140" i="6"/>
  <c r="O140" i="6" s="1"/>
  <c r="P140" i="6"/>
  <c r="T129" i="3"/>
  <c r="N139" i="6"/>
  <c r="O139" i="6" s="1"/>
  <c r="T128" i="3"/>
  <c r="P139" i="6"/>
  <c r="T127" i="3"/>
  <c r="N138" i="6"/>
  <c r="O138" i="6" s="1"/>
  <c r="P138" i="6"/>
  <c r="N112" i="6"/>
  <c r="O112" i="6" s="1"/>
  <c r="P112" i="6"/>
  <c r="T101" i="3"/>
  <c r="N111" i="6"/>
  <c r="O111" i="6" s="1"/>
  <c r="P111" i="6"/>
  <c r="T100" i="3"/>
  <c r="N110" i="6"/>
  <c r="O110" i="6" s="1"/>
  <c r="P110" i="6"/>
  <c r="T99" i="3"/>
  <c r="P109" i="6"/>
  <c r="T98" i="3"/>
  <c r="N109" i="6"/>
  <c r="O109" i="6" s="1"/>
  <c r="T97" i="3"/>
  <c r="N108" i="6"/>
  <c r="O108" i="6" s="1"/>
  <c r="P108" i="6"/>
  <c r="P107" i="6"/>
  <c r="T96" i="3"/>
  <c r="N107" i="6"/>
  <c r="O107" i="6" s="1"/>
  <c r="P106" i="6"/>
  <c r="T95" i="3"/>
  <c r="N106" i="6"/>
  <c r="O106" i="6" s="1"/>
  <c r="T94" i="3"/>
  <c r="N105" i="6"/>
  <c r="O105" i="6" s="1"/>
  <c r="P105" i="6"/>
  <c r="T93" i="3"/>
  <c r="N104" i="6"/>
  <c r="O104" i="6" s="1"/>
  <c r="P104" i="6"/>
  <c r="N103" i="6"/>
  <c r="O103" i="6" s="1"/>
  <c r="P103" i="6"/>
  <c r="T92" i="3"/>
  <c r="T91" i="3"/>
  <c r="N102" i="6"/>
  <c r="O102" i="6" s="1"/>
  <c r="P102" i="6"/>
  <c r="T90" i="3"/>
  <c r="P101" i="6"/>
  <c r="N101" i="6"/>
  <c r="O101" i="6" s="1"/>
  <c r="T89" i="3"/>
  <c r="P100" i="6"/>
  <c r="N100" i="6"/>
  <c r="O100" i="6" s="1"/>
  <c r="P69" i="6"/>
  <c r="T58" i="3"/>
  <c r="N69" i="6"/>
  <c r="O69" i="6" s="1"/>
  <c r="P68" i="6"/>
  <c r="N68" i="6"/>
  <c r="O68" i="6" s="1"/>
  <c r="T57" i="3"/>
  <c r="N67" i="6"/>
  <c r="O67" i="6" s="1"/>
  <c r="T56" i="3"/>
  <c r="P67" i="6"/>
  <c r="T55" i="3"/>
  <c r="P66" i="6"/>
  <c r="N66" i="6"/>
  <c r="O66" i="6" s="1"/>
  <c r="T54" i="3"/>
  <c r="N65" i="6"/>
  <c r="O65" i="6" s="1"/>
  <c r="P65" i="6"/>
  <c r="T20" i="3"/>
  <c r="P31" i="6"/>
  <c r="N31" i="6"/>
  <c r="O31" i="6" s="1"/>
  <c r="T19" i="3"/>
  <c r="P30" i="6"/>
  <c r="N30" i="6"/>
  <c r="O30" i="6" s="1"/>
  <c r="P29" i="6"/>
  <c r="N29" i="6"/>
  <c r="O29" i="6" s="1"/>
  <c r="T18" i="3"/>
  <c r="P28" i="6"/>
  <c r="N28" i="6"/>
  <c r="O28" i="6" s="1"/>
  <c r="T17" i="3"/>
  <c r="P26" i="6"/>
  <c r="T15" i="3"/>
  <c r="N26" i="6"/>
  <c r="O26" i="6" s="1"/>
  <c r="P24" i="6"/>
  <c r="N24" i="6"/>
  <c r="O24" i="6" s="1"/>
  <c r="T13" i="3"/>
  <c r="N22" i="6"/>
  <c r="O22" i="6" s="1"/>
  <c r="P22" i="6"/>
  <c r="T11" i="3"/>
  <c r="T10" i="3"/>
  <c r="P21" i="6"/>
  <c r="N21" i="6"/>
  <c r="O21" i="6" s="1"/>
  <c r="P20" i="6"/>
  <c r="T9" i="3"/>
  <c r="N20" i="6"/>
  <c r="O20" i="6" s="1"/>
  <c r="P19" i="6"/>
  <c r="N19" i="6"/>
  <c r="O19" i="6" s="1"/>
  <c r="T7" i="3"/>
  <c r="N18" i="6"/>
  <c r="O18" i="6" s="1"/>
  <c r="P18" i="6"/>
  <c r="L17" i="6"/>
  <c r="T5" i="3"/>
  <c r="N16" i="6"/>
  <c r="O16" i="6" s="1"/>
  <c r="P16" i="6"/>
  <c r="T4" i="3"/>
  <c r="N15" i="6"/>
  <c r="O15" i="6" s="1"/>
  <c r="P15" i="6"/>
  <c r="X8" i="6"/>
  <c r="N60" i="6"/>
  <c r="O60" i="6" s="1"/>
  <c r="P177" i="6" l="1"/>
  <c r="N177" i="6"/>
  <c r="O177" i="6" s="1"/>
  <c r="T166" i="3"/>
  <c r="P176" i="6"/>
  <c r="T165" i="3"/>
  <c r="N176" i="6"/>
  <c r="O176" i="6" s="1"/>
  <c r="T153" i="3"/>
  <c r="P164" i="6"/>
  <c r="N164" i="6"/>
  <c r="O164" i="6" s="1"/>
  <c r="N163" i="6"/>
  <c r="O163" i="6" s="1"/>
  <c r="P163" i="6"/>
  <c r="T152" i="3"/>
  <c r="P162" i="6"/>
  <c r="N162" i="6"/>
  <c r="O162" i="6" s="1"/>
  <c r="T151" i="3"/>
  <c r="N161" i="6"/>
  <c r="O161" i="6" s="1"/>
  <c r="T150" i="3"/>
  <c r="P161" i="6"/>
  <c r="L160" i="6"/>
  <c r="K247" i="6"/>
  <c r="U11" i="4"/>
  <c r="S11" i="4"/>
  <c r="U6" i="4"/>
  <c r="R6" i="4"/>
  <c r="M14" i="6"/>
  <c r="T6" i="4"/>
  <c r="J243" i="4"/>
  <c r="K243" i="4" s="1"/>
  <c r="S6" i="4"/>
  <c r="T11" i="4"/>
  <c r="R11" i="4"/>
  <c r="K10" i="4"/>
  <c r="N17" i="6"/>
  <c r="O17" i="6" s="1"/>
  <c r="T6" i="3"/>
  <c r="P17" i="6"/>
  <c r="Y10" i="6"/>
  <c r="Z10" i="6" s="1"/>
  <c r="Y9" i="6"/>
  <c r="Z9" i="6" s="1"/>
  <c r="T6" i="6"/>
  <c r="U6" i="6"/>
  <c r="L247" i="6"/>
  <c r="P247" i="6" s="1"/>
  <c r="T11" i="6"/>
  <c r="U11" i="6"/>
  <c r="V11" i="6"/>
  <c r="W11" i="6"/>
  <c r="T149" i="3" l="1"/>
  <c r="P160" i="6"/>
  <c r="N160" i="6"/>
  <c r="O160" i="6" s="1"/>
  <c r="N14" i="6"/>
  <c r="X6" i="6"/>
  <c r="Y6" i="6" s="1"/>
  <c r="Z6" i="6" s="1"/>
  <c r="M247" i="6"/>
  <c r="X11" i="6"/>
  <c r="Y11" i="6" s="1"/>
  <c r="Z11" i="6" s="1"/>
  <c r="N247" i="6" l="1"/>
  <c r="O247" i="6" s="1"/>
  <c r="O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5" authorId="0" shapeId="0" xr:uid="{00000000-0006-0000-0300-000001000000}">
      <text>
        <r>
          <rPr>
            <sz val="10"/>
            <rFont val="Arial"/>
            <family val="2"/>
          </rPr>
          <t>Parámetros indicados por Landmass (Miguel) el 18-sep-2026: lote $30/m², interior $1.900/m², terraza $700/m².</t>
        </r>
      </text>
    </comment>
    <comment ref="F10" authorId="0" shapeId="0" xr:uid="{00000000-0006-0000-0300-000002000000}">
      <text>
        <r>
          <rPr>
            <sz val="10"/>
            <rFont val="Arial"/>
            <family val="2"/>
          </rPr>
          <t>Área de lote tomada literalmente del texto "Área lote: … m²" de la columna Notas (hoja Unidades), unidad por unidad.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R2" authorId="0" shapeId="0" xr:uid="{00000000-0006-0000-0200-000001000000}">
      <text>
        <r>
          <rPr>
            <sz val="10"/>
            <rFont val="Arial"/>
            <family val="2"/>
          </rPr>
          <t>Valor numérico extraído del texto "Área lote: … m²" de la columna Notas.</t>
        </r>
      </text>
    </comment>
    <comment ref="S2" authorId="0" shapeId="0" xr:uid="{00000000-0006-0000-0200-000002000000}">
      <text>
        <r>
          <rPr>
            <sz val="10"/>
            <rFont val="Arial"/>
            <family val="2"/>
          </rPr>
          <t>= Área lote × Precios!B5 + m² Interior × Precios!B6 + m² Terraza × Precios!B7. Los parámetros se editan en la hoja Precios.</t>
        </r>
      </text>
    </comment>
    <comment ref="T2" authorId="0" shapeId="0" xr:uid="{00000000-0006-0000-0200-000003000000}">
      <text>
        <r>
          <rPr>
            <sz val="10"/>
            <rFont val="Arial"/>
            <family val="2"/>
          </rPr>
          <t>= Precios_v2!L. Simulación con atributos de lote de la hoja Lotes (sustituir por datos reales).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6" authorId="0" shapeId="0" xr:uid="{00000000-0006-0000-0500-000001000000}">
      <text>
        <r>
          <rPr>
            <sz val="10"/>
            <rFont val="Arial"/>
            <family val="2"/>
          </rPr>
          <t>Lote estándar incluido en la base. Propuesta: 800 m² para A/B/C, 600 m² para D/E. Editable.</t>
        </r>
      </text>
    </comment>
    <comment ref="E6" authorId="0" shapeId="0" xr:uid="{00000000-0006-0000-0500-000002000000}">
      <text>
        <r>
          <rPr>
            <sz val="10"/>
            <rFont val="Arial"/>
            <family val="2"/>
          </rPr>
          <t>Por defecto = base sugerida (fórmula). Puedes sobreescribir con el precio base que decidas por tipología (p. ej. tras el piso cost-plus o comparables).</t>
        </r>
      </text>
    </comment>
    <comment ref="K7" authorId="0" shapeId="0" xr:uid="{00000000-0006-0000-0500-000004000000}">
      <text>
        <r>
          <rPr>
            <sz val="10"/>
            <rFont val="Arial"/>
            <family val="2"/>
          </rPr>
          <t>0 = los lotes por debajo del estándar no se descuentan (la base ya incluye el lote). Pon p. ej. 10 si quieres descontar.</t>
        </r>
      </text>
    </comment>
    <comment ref="I247" authorId="0" shapeId="0" xr:uid="{00000000-0006-0000-0500-000003000000}">
      <text>
        <r>
          <rPr>
            <sz val="10"/>
            <rFont val="Arial"/>
            <family val="2"/>
          </rPr>
          <t>Promedio simple del Σ ajuste % de las 233 unidades.</t>
        </r>
      </text>
    </comment>
  </commentList>
</comments>
</file>

<file path=xl/sharedStrings.xml><?xml version="1.0" encoding="utf-8"?>
<sst xmlns="http://schemas.openxmlformats.org/spreadsheetml/2006/main" count="3486" uniqueCount="800">
  <si>
    <t>BAHÍA MAR · Boutique Residence</t>
  </si>
  <si>
    <t>Las Terrenas, Samaná — República Dominicana</t>
  </si>
  <si>
    <t>FICHA DE LEVANTAMIENTO DE DATOS — Arquitectura · Producto · Precios   |   Uso interno · Landmass Capital, S.R.L.</t>
  </si>
  <si>
    <t>PARA QUÉ SIRVE ESTE ARCHIVO</t>
  </si>
  <si>
    <t>Recoge, de forma ordenada, TODOS los datos que necesitamos del arquitecto y de Landmass para fijar metrajes y precios de venta de Bahía Mar y cargarlos en Urbatrix. El arquitecto completa los m² y el mix; con eso el modelo calcula áreas vendibles y eficiencia, y luego Landmass coloca los precios finales.</t>
  </si>
  <si>
    <t>CÓMO USARLO</t>
  </si>
  <si>
    <t>1) El arquitecto llena las celdas ROSA en la hoja 'Tipologias' (un renglón por tipo de villa) y, si lo tiene, el detalle unidad por unidad en 'Unidades'.</t>
  </si>
  <si>
    <t>2) Las celdas GRISES se calculan solas (m² privativo total, eficiencia arquitectónica, totales). No se editan.</t>
  </si>
  <si>
    <t>3) Landmass completa las celdas AMARILLAS de 'Datos_Landmass' (tierra, costos, deuda, comisiones, objetivo).</t>
  </si>
  <si>
    <t>4) Como paso FINAL, se llenan las columnas de precio (AMARILLAS) y el archivo arroja precio por unidad y Gross Sell-Out.</t>
  </si>
  <si>
    <t>RESPONSABLE POR HOJA</t>
  </si>
  <si>
    <t>Hoja</t>
  </si>
  <si>
    <t>Quién la llena</t>
  </si>
  <si>
    <t>Qué entrega</t>
  </si>
  <si>
    <t>Tipologias</t>
  </si>
  <si>
    <t>Arquitecto</t>
  </si>
  <si>
    <t>Cuadro de m² por tipología (interior, terraza, roof, parcela, bruto) y nº de unidades de cada tipo.</t>
  </si>
  <si>
    <t>Unidades</t>
  </si>
  <si>
    <t>Arquitecto + Comercial</t>
  </si>
  <si>
    <t>Listado unidad por unidad (nivel, vista, estatus) listo para cargar en Urbatrix.</t>
  </si>
  <si>
    <t>Datos_Landmass</t>
  </si>
  <si>
    <t>Fernando / Landmass</t>
  </si>
  <si>
    <t>Condiciones comerciales y financieras: tierra, costos, deuda, comisiones, objetivo.</t>
  </si>
  <si>
    <t>Supuestos</t>
  </si>
  <si>
    <t>CFO (referencia)</t>
  </si>
  <si>
    <t>Estándares de mercado usados y definiciones de cada indicador.</t>
  </si>
  <si>
    <t>LEYENDA DE COLORES</t>
  </si>
  <si>
    <t>Campo a llenar por el ARQUITECTO</t>
  </si>
  <si>
    <t>Campo a definir por LANDMASS (incluye precios — paso final)</t>
  </si>
  <si>
    <t>Calculado automáticamente — NO editar</t>
  </si>
  <si>
    <t>Encabezado de tabla</t>
  </si>
  <si>
    <t>PUNTOS ABIERTOS A ACLARAR (detectados en el brochure)</t>
  </si>
  <si>
    <t>• El brochure indica 3 tipologías y 40 viviendas; el proyecto ahora maneja 5 tipologías → confirmar mix y total de unidades.</t>
  </si>
  <si>
    <t>• Villa I (Luxury): el resumen dice 160 m² (90+20+50) pero los planos suman ≈220 m² (PB 125,65 + PA 94,93) → definir m² oficiales.</t>
  </si>
  <si>
    <t>• Villa II (Penthouse): 'parcela a partir de 5 m²' parece error de tipeo → confirmar.</t>
  </si>
  <si>
    <t>• Faltan los m² de Villa Premium, de la villa insignia ('Villa A') y de la 5.ª tipología.</t>
  </si>
  <si>
    <t>• Parcela total del proyecto: 20.652 m²; zonas comunes: 650 m² (dato del brochure).</t>
  </si>
  <si>
    <t>Versión 1.0 — preparado por la oficina de CFO / Ingeniería Financiera, Landmass Capital. Cifras precargadas = BORRADOR a confirmar.</t>
  </si>
  <si>
    <t>DATOS</t>
  </si>
  <si>
    <t>IDENTIFICACIÓN</t>
  </si>
  <si>
    <t>PROGRAMA</t>
  </si>
  <si>
    <t>ÁREAS — ARQUITECTO (m²)</t>
  </si>
  <si>
    <t>CALCULADO</t>
  </si>
  <si>
    <t>PRECIOS — LANDMASS (paso final)</t>
  </si>
  <si>
    <t>Código</t>
  </si>
  <si>
    <t>Nombre tipología (provisional)</t>
  </si>
  <si>
    <t>Uso / descripción</t>
  </si>
  <si>
    <t>N° plantas</t>
  </si>
  <si>
    <t>Hab.</t>
  </si>
  <si>
    <t>Baños</t>
  </si>
  <si>
    <t>Vista</t>
  </si>
  <si>
    <t>N° unidades</t>
  </si>
  <si>
    <t>m² Interior
privativo</t>
  </si>
  <si>
    <t>m² Terraza</t>
  </si>
  <si>
    <t>m² Roof /
Solárium</t>
  </si>
  <si>
    <t>m² Parcela
exterior</t>
  </si>
  <si>
    <t>m² Piscina</t>
  </si>
  <si>
    <t>m² Picuzzi</t>
  </si>
  <si>
    <t>m² Construido
bruto</t>
  </si>
  <si>
    <t>m² Privativo
total</t>
  </si>
  <si>
    <t>Eficiencia
arq. (Int/Bruto)</t>
  </si>
  <si>
    <t>m² Interior
totales proy.</t>
  </si>
  <si>
    <t>$/m²
objetivo</t>
  </si>
  <si>
    <t>Precio venta
x unidad</t>
  </si>
  <si>
    <t>Gross Sell-Out
tipología</t>
  </si>
  <si>
    <t>Notas / estado</t>
  </si>
  <si>
    <t>Adicional</t>
  </si>
  <si>
    <t>T1</t>
  </si>
  <si>
    <t>VILLA A</t>
  </si>
  <si>
    <t>Villa de mayor programa, con áreas sociales amplias, cava de vinos, dormitorio de huéspedes, zona de servicio, piscina, solárium, fogata, picuzzi y terrazas.</t>
  </si>
  <si>
    <t>Paisaje / piscina / terrazas / horizonte</t>
  </si>
  <si>
    <t>Variable según lote</t>
  </si>
  <si>
    <t>BORRADOR brochure (Villa II Penthouse). Confirmar m² bruto, parcela y nº de unidades.</t>
  </si>
  <si>
    <t xml:space="preserve">**Incluye 1 baño de servicio independiente, no contabilizado dentro del número de baños principales de la villa.**
</t>
  </si>
  <si>
    <t>T2</t>
  </si>
  <si>
    <t>VILLA B</t>
  </si>
  <si>
    <t>Villa alargada y más compacta, con área social lineal, dormitorio de huéspedes en primer nivel, dos dormitorios en segundo nivel, piscina, solárium, fogata, picuzzi y terrazas superiores.</t>
  </si>
  <si>
    <t>Faltan todos los m². Pendiente del arquitecto.</t>
  </si>
  <si>
    <t>T3</t>
  </si>
  <si>
    <t>VILLA C</t>
  </si>
  <si>
    <t>Villa de un solo nivel, compacta y funcional, con sala, comedor, cocina, dormitorio principal, dormitorio secundario, área de servicio, piscina, solárium, fogata, picuzzi y terraza.</t>
  </si>
  <si>
    <t>BORRADOR brochure (160 m²) NO cuadra con planos (~220 m²). Definir m² oficiales.</t>
  </si>
  <si>
    <t>T4</t>
  </si>
  <si>
    <t>VILLA D</t>
  </si>
  <si>
    <t>Villa de un solo nivel, de estilo cálido, rústico y natural, con dos dormitorios, área social integrada, zona BBQ, piscina, solárium, fogata, picuzzi y terrazas.</t>
  </si>
  <si>
    <t>Villa insignia (cava, BBQ, fogata, piscina). Faltan m². Confirmar nº de hab/baños.</t>
  </si>
  <si>
    <t>-</t>
  </si>
  <si>
    <t>T5</t>
  </si>
  <si>
    <t>VILLA E</t>
  </si>
  <si>
    <t>Villa de dos niveles, con carácter tropical, cálido y natural. Integra dormitorio de huéspedes en primer nivel, dos dormitorios en segundo nivel, terrazas, piscina, picuzzi, zona BBQ, solárium y fogata.</t>
  </si>
  <si>
    <t>Tipología no incluida en el brochure. Definir programa y m².</t>
  </si>
  <si>
    <t>TOTAL</t>
  </si>
  <si>
    <t>Eficiencia objetivo: 80%–85%</t>
  </si>
  <si>
    <t>Nota: la 'Eficiencia arq.' = m² interior privativo ÷ m² construido bruto. Objetivo del estándar RE: 80%–85%. Terraza, roof y parcela se valoran aparte en el precio si así se decide.</t>
  </si>
  <si>
    <t>Total de unidades del brochure = 40 (referencia). Confirmar con el arquitecto el nº por tipología.</t>
  </si>
  <si>
    <t>LISTADO DE UNIDADES — carga Urbatrix  (m², hab, baños y $/m² se traen solos desde 'Tipologias')</t>
  </si>
  <si>
    <t>N° / Nombre
unidad</t>
  </si>
  <si>
    <t>Código
tipología</t>
  </si>
  <si>
    <t>Etapa /
Fase</t>
  </si>
  <si>
    <t>Nivel</t>
  </si>
  <si>
    <t>m² Interior</t>
  </si>
  <si>
    <t>m² Total
privativo</t>
  </si>
  <si>
    <t>Estatus</t>
  </si>
  <si>
    <t>Lista
precio</t>
  </si>
  <si>
    <t>$/m²</t>
  </si>
  <si>
    <t>Precio
venta</t>
  </si>
  <si>
    <t>Reserva</t>
  </si>
  <si>
    <t>Broker
asignado</t>
  </si>
  <si>
    <t>Notas</t>
  </si>
  <si>
    <t>Área lote
(m²)</t>
  </si>
  <si>
    <t>Precio venta
(lote+int+terr)</t>
  </si>
  <si>
    <t>Precio v2
(base+premiums)</t>
  </si>
  <si>
    <t>A-001</t>
  </si>
  <si>
    <t>Fase 4</t>
  </si>
  <si>
    <t>Disponible</t>
  </si>
  <si>
    <t>Área lote: 1004.58 m² | Tipología temporal del plano</t>
  </si>
  <si>
    <t>A-002</t>
  </si>
  <si>
    <t>Área lote: 1067.40 m² | Tipología temporal del plano</t>
  </si>
  <si>
    <t>A-003</t>
  </si>
  <si>
    <t>Área lote: 772.20 m² | Tipología temporal del plano</t>
  </si>
  <si>
    <t>A-004</t>
  </si>
  <si>
    <t>Área lote: 794.87 m² | Tipología temporal del plano</t>
  </si>
  <si>
    <t>A-005</t>
  </si>
  <si>
    <t>Área lote: 801.89 m² | Tipología temporal del plano</t>
  </si>
  <si>
    <t>A-006</t>
  </si>
  <si>
    <t>Área lote: 828.77 m² | Tipología temporal del plano</t>
  </si>
  <si>
    <t>A-007</t>
  </si>
  <si>
    <t>Área lote: 788.69 m² | Tipología temporal del plano</t>
  </si>
  <si>
    <t>A-008</t>
  </si>
  <si>
    <t>Área lote: 1228.17 m² | Tipología temporal del plano</t>
  </si>
  <si>
    <t>A-009</t>
  </si>
  <si>
    <t>Área lote: 932.00 m² | Tipología temporal del plano</t>
  </si>
  <si>
    <t>A-010</t>
  </si>
  <si>
    <t>Área lote: 883.19 m² | Tipología temporal del plano</t>
  </si>
  <si>
    <t>A-011</t>
  </si>
  <si>
    <t>Área lote: 811.64 m² | Tipología temporal del plano</t>
  </si>
  <si>
    <t>A-012</t>
  </si>
  <si>
    <t>Área lote: 832.55 m² | Tipología temporal del plano</t>
  </si>
  <si>
    <t>A-013</t>
  </si>
  <si>
    <t>Área lote: 840.40 m² | Tipología temporal del plano</t>
  </si>
  <si>
    <t>A-014</t>
  </si>
  <si>
    <t>Área lote: 813.31 m² | Tipología temporal del plano</t>
  </si>
  <si>
    <t>A-015</t>
  </si>
  <si>
    <t>Área lote: 922.55 m² | Tipología temporal del plano</t>
  </si>
  <si>
    <t>A-016</t>
  </si>
  <si>
    <t>Área lote: 848.54 m² | Tipología temporal del plano</t>
  </si>
  <si>
    <t>A-017</t>
  </si>
  <si>
    <t>Área lote: 762.77 m² | Tipología temporal del plano</t>
  </si>
  <si>
    <t>A-018</t>
  </si>
  <si>
    <t>Área lote: 1006.20 m² | Tipología temporal del plano</t>
  </si>
  <si>
    <t>A-019</t>
  </si>
  <si>
    <t>Área lote: 1225.01 m² | Tipología temporal del plano</t>
  </si>
  <si>
    <t>A-020</t>
  </si>
  <si>
    <t>Área lote: 1068.35 m² | Tipología temporal del plano</t>
  </si>
  <si>
    <t>A-021</t>
  </si>
  <si>
    <t>Área lote: 771.66 m² | Tipología temporal del plano</t>
  </si>
  <si>
    <t>A-022</t>
  </si>
  <si>
    <t>Área lote: 880.10m² | Tipología temporal del plano</t>
  </si>
  <si>
    <t>A-023</t>
  </si>
  <si>
    <t>Área lote: 799.87 m² | Tipología temporal del plano</t>
  </si>
  <si>
    <t>A-024</t>
  </si>
  <si>
    <t>Área lote: 768.76 m² | Tipología temporal del plano</t>
  </si>
  <si>
    <t>A-025</t>
  </si>
  <si>
    <t>Área lote: 767.97 m² | Tipología temporal del plano</t>
  </si>
  <si>
    <t>A-026</t>
  </si>
  <si>
    <t>A-027</t>
  </si>
  <si>
    <t>A-028</t>
  </si>
  <si>
    <t>Área lote: 806.91 m² | Tipología temporal del plano</t>
  </si>
  <si>
    <t>A-029</t>
  </si>
  <si>
    <t>Área lote: 813.54 m² | Tipología temporal del plano</t>
  </si>
  <si>
    <t>A-030</t>
  </si>
  <si>
    <t>Área lote: 769.34 m² | Tipología temporal del plano</t>
  </si>
  <si>
    <t>A-031</t>
  </si>
  <si>
    <t>Área lote: 733.29 m² | Tipología temporal del plano</t>
  </si>
  <si>
    <t>A-032</t>
  </si>
  <si>
    <t>Área lote: 1014.84 m² | Tipología temporal del plano</t>
  </si>
  <si>
    <t>B-001</t>
  </si>
  <si>
    <t>Área lote: 928.76 m² | Tipología temporal del plano</t>
  </si>
  <si>
    <t>B-002</t>
  </si>
  <si>
    <t>Área lote: 822.83 m² | Tipología temporal del plano</t>
  </si>
  <si>
    <t>B-003</t>
  </si>
  <si>
    <t>Área lote: 795.65 m² | Tipología temporal del plano</t>
  </si>
  <si>
    <t>B-004</t>
  </si>
  <si>
    <t>Área lote: 747.22 m² | Tipología temporal del plano</t>
  </si>
  <si>
    <t>B-005</t>
  </si>
  <si>
    <t>Área lote: 1127.39 m² | Tipología temporal del plano</t>
  </si>
  <si>
    <t>B-006</t>
  </si>
  <si>
    <t>Área lote: 773.59 m² | Tipología temporal del plano</t>
  </si>
  <si>
    <t>B-007</t>
  </si>
  <si>
    <t>Área lote: 754.14 m² | Tipología temporal del plano</t>
  </si>
  <si>
    <t>B-008</t>
  </si>
  <si>
    <t>B-009</t>
  </si>
  <si>
    <t>Área lote: 754.33 m² | Tipología temporal del plano</t>
  </si>
  <si>
    <t>B-010</t>
  </si>
  <si>
    <t>Área lote: 729.71 m² | Tipología temporal del plano</t>
  </si>
  <si>
    <t>B-011</t>
  </si>
  <si>
    <t>Área lote: 1046.69 m² | Tipología temporal del plano</t>
  </si>
  <si>
    <t>B-012</t>
  </si>
  <si>
    <t>Área lote: 756.16 m² | Tipología temporal del plano</t>
  </si>
  <si>
    <t>B-013</t>
  </si>
  <si>
    <t>Área lote: 789.57 m² | Tipología temporal del plano</t>
  </si>
  <si>
    <t>B-014</t>
  </si>
  <si>
    <t>Área lote: 754.99 m² | Tipología temporal del plano</t>
  </si>
  <si>
    <t>C-001</t>
  </si>
  <si>
    <t>Área lote: 1404.01 m² | Tipología temporal del plano</t>
  </si>
  <si>
    <t>C-002</t>
  </si>
  <si>
    <t>Área lote: 1054.49 m² | Tipología temporal del plano</t>
  </si>
  <si>
    <t>C-003</t>
  </si>
  <si>
    <t>Área lote: 852.04 m² | Tipología temporal del plano</t>
  </si>
  <si>
    <t>C-004</t>
  </si>
  <si>
    <t>Área lote: 947.60 m² | Tipología temporal del plano</t>
  </si>
  <si>
    <t>C-005</t>
  </si>
  <si>
    <t>Área lote:753.00 m² | Tipología temporal del plano</t>
  </si>
  <si>
    <t>C-006</t>
  </si>
  <si>
    <t>Área lote: 759.10 m² | Tipología temporal del plano</t>
  </si>
  <si>
    <t>C-007</t>
  </si>
  <si>
    <t>Área lote: 708.38 m² | Tipología temporal del plano</t>
  </si>
  <si>
    <t>C-008</t>
  </si>
  <si>
    <t>Área lote: 1060.35 m² | Tipología temporal del plano</t>
  </si>
  <si>
    <t>C-009</t>
  </si>
  <si>
    <t>Área lote: 997.00 m² | Tipología temporal del plano</t>
  </si>
  <si>
    <t>C-010</t>
  </si>
  <si>
    <t>Área lote: 1002.34 m² | Tipología temporal del plano</t>
  </si>
  <si>
    <t>C-011</t>
  </si>
  <si>
    <t>Área lote: 1043.90 m² | Tipología temporal del plano</t>
  </si>
  <si>
    <t>C-012</t>
  </si>
  <si>
    <t>Área lote: 1385.69 m² | Tipología temporal del plano</t>
  </si>
  <si>
    <t>C-013</t>
  </si>
  <si>
    <t>Área lote: 903.09 m² | Tipología temporal del plano</t>
  </si>
  <si>
    <t>C-014</t>
  </si>
  <si>
    <t>Área lote: 847.42 m² | Tipología temporal del plano</t>
  </si>
  <si>
    <t>C-015</t>
  </si>
  <si>
    <t>Área lote: 756.37 m² | Tipología temporal del plano</t>
  </si>
  <si>
    <t>C-016</t>
  </si>
  <si>
    <t>Área lote: 861.39 m² | Tipología temporal del plano</t>
  </si>
  <si>
    <t>C-017</t>
  </si>
  <si>
    <t>Área lote: 773.75 m² | Tipología temporal del plano</t>
  </si>
  <si>
    <t>C-018</t>
  </si>
  <si>
    <t>Área lote: 932.54 m² | Tipología temporal del plano</t>
  </si>
  <si>
    <t>C-019</t>
  </si>
  <si>
    <t>Área lote: 1002.20 m² | Tipología temporal del plano</t>
  </si>
  <si>
    <t>C-020</t>
  </si>
  <si>
    <t>Área lote: 1168.10 m² | Tipología temporal del plano</t>
  </si>
  <si>
    <t>C-021</t>
  </si>
  <si>
    <t>Área lote: 980.33 m² | Tipología temporal del plano</t>
  </si>
  <si>
    <t>C-022</t>
  </si>
  <si>
    <t>Área lote: 987.88 m² | Tipología temporal del plano</t>
  </si>
  <si>
    <t>C-023</t>
  </si>
  <si>
    <t>Área lote: 1029.56 m² | Tipología temporal del plano</t>
  </si>
  <si>
    <t>C-024</t>
  </si>
  <si>
    <t>Área lote: 981.47 m² | Tipología temporal del plano</t>
  </si>
  <si>
    <t>D-001</t>
  </si>
  <si>
    <t>Fase 3</t>
  </si>
  <si>
    <t>Área lote: 690.73 m² | Tipología temporal del plano</t>
  </si>
  <si>
    <t>D-002</t>
  </si>
  <si>
    <t>Área lote: 653.71 m² | Tipología temporal del plano</t>
  </si>
  <si>
    <t>D-003</t>
  </si>
  <si>
    <t>Área lote: 710.08 m² | Tipología temporal del plano</t>
  </si>
  <si>
    <t>D-004</t>
  </si>
  <si>
    <t>Área lote: 882.73 m² | Tipología temporal del plano</t>
  </si>
  <si>
    <t>D-005</t>
  </si>
  <si>
    <t>Área lote: 735.36 m² | Tipología temporal del plano</t>
  </si>
  <si>
    <t>D-006</t>
  </si>
  <si>
    <t>Área lote: 777.66 m² | Tipología temporal del plano</t>
  </si>
  <si>
    <t>D-007</t>
  </si>
  <si>
    <t>Área lote: 800.65 m² | Tipología temporal del plano</t>
  </si>
  <si>
    <t>D-008</t>
  </si>
  <si>
    <t>Área lote: 815.15 m² | Tipología temporal del plano</t>
  </si>
  <si>
    <t>D-009</t>
  </si>
  <si>
    <t>Área lote: 843.39 m² | Tipología temporal del plano</t>
  </si>
  <si>
    <t>D-010</t>
  </si>
  <si>
    <t>Área lote: 700.62 m² | Tipología temporal del plano</t>
  </si>
  <si>
    <t>D-011</t>
  </si>
  <si>
    <t>Área lote: 889.87 m² | Tipología temporal del plano</t>
  </si>
  <si>
    <t>D-012</t>
  </si>
  <si>
    <t>Área lote: 1054.18 m² | Tipología temporal del plano</t>
  </si>
  <si>
    <t>D-013</t>
  </si>
  <si>
    <t>Área lote: 776.08 m² | Tipología temporal del plano</t>
  </si>
  <si>
    <t>D-014</t>
  </si>
  <si>
    <t>Área lote: 790.16 m² | Tipología temporal del plano</t>
  </si>
  <si>
    <t>D-015</t>
  </si>
  <si>
    <t>Área lote: 834.48 m² | Tipología temporal del plano</t>
  </si>
  <si>
    <t>D-016</t>
  </si>
  <si>
    <t>Área lote: 907.19 m² | Tipología temporal del plano</t>
  </si>
  <si>
    <t>D-017</t>
  </si>
  <si>
    <t>Área lote: 637.13 m² | Tipología temporal del plano</t>
  </si>
  <si>
    <t>D-018</t>
  </si>
  <si>
    <t>Área lote: 531.32 m² | Tipología temporal del plano</t>
  </si>
  <si>
    <t>D-019</t>
  </si>
  <si>
    <t>Área lote: 714.85 m² | Tipología temporal del plano</t>
  </si>
  <si>
    <t>D-020</t>
  </si>
  <si>
    <t>Área lote: 605.95 m² | Tipología temporal del plano</t>
  </si>
  <si>
    <t>D-021</t>
  </si>
  <si>
    <t>Área lote: 796.28 m² | Tipología temporal del plano</t>
  </si>
  <si>
    <t>D-022</t>
  </si>
  <si>
    <t>Área lote: 701.00 m² | Tipología temporal del plano</t>
  </si>
  <si>
    <t>D-023</t>
  </si>
  <si>
    <t>Área lote: 710.35 m² | Tipología temporal del plano</t>
  </si>
  <si>
    <t>D-024</t>
  </si>
  <si>
    <t>Área lote: 730.49 m² | Tipología temporal del plano</t>
  </si>
  <si>
    <t>D-025</t>
  </si>
  <si>
    <t>Área lote: 826.59 m² | Tipología temporal del plano</t>
  </si>
  <si>
    <t>D-026</t>
  </si>
  <si>
    <t>Área lote: 535.20 m² | Tipología temporal del plano</t>
  </si>
  <si>
    <t>D-027</t>
  </si>
  <si>
    <t>Área lote: 494.22 m² | Tipología temporal del plano</t>
  </si>
  <si>
    <t>D-028</t>
  </si>
  <si>
    <t>Área lote: 713.80 m² | Tipología temporal del plano</t>
  </si>
  <si>
    <t>D-029</t>
  </si>
  <si>
    <t>Área lote: 685.11 m² | Tipología temporal del plano</t>
  </si>
  <si>
    <t>D-030</t>
  </si>
  <si>
    <t>Área lote: 637.11 m² | Tipología temporal del plano</t>
  </si>
  <si>
    <t>D-031</t>
  </si>
  <si>
    <t>Área lote: 696.59 m² | Tipología temporal del plano</t>
  </si>
  <si>
    <t>D-032</t>
  </si>
  <si>
    <t>Área lote: 1016.94 m² | Tipología temporal del plano</t>
  </si>
  <si>
    <t>D-033</t>
  </si>
  <si>
    <t>Área lote: 793.18 m² | Tipología temporal del plano</t>
  </si>
  <si>
    <t>D-034</t>
  </si>
  <si>
    <t>Área lote: 732.55 m² | Tipología temporal del plano</t>
  </si>
  <si>
    <t>D-035</t>
  </si>
  <si>
    <t>Área lote: 796.67 m² | Tipología temporal del plano</t>
  </si>
  <si>
    <t>D-036</t>
  </si>
  <si>
    <t>Área lote: 645.54 m² | Tipología temporal del plano</t>
  </si>
  <si>
    <t>D-037</t>
  </si>
  <si>
    <t>Área lote: 704.20 m² | Tipología temporal del plano</t>
  </si>
  <si>
    <t>D-038</t>
  </si>
  <si>
    <t>Área lote: 753.90 m² | Tipología temporal del plano</t>
  </si>
  <si>
    <t>D-039</t>
  </si>
  <si>
    <t>Área lote: 957.95 m² | Tipología temporal del plano</t>
  </si>
  <si>
    <t>D-040</t>
  </si>
  <si>
    <t>Área lote: 646.22 m² | Tipología temporal del plano</t>
  </si>
  <si>
    <t>D-041</t>
  </si>
  <si>
    <t>Área lote: 604.61 m² | Tipología temporal del plano</t>
  </si>
  <si>
    <t>D-042</t>
  </si>
  <si>
    <t>Área lote: 569.86 m² | Tipología temporal del plano</t>
  </si>
  <si>
    <t>D-043</t>
  </si>
  <si>
    <t>Área lote: 569.03 m² | Tipología temporal del plano</t>
  </si>
  <si>
    <t>D-044</t>
  </si>
  <si>
    <t>Área lote: 696.56 m² | Tipología temporal del plano</t>
  </si>
  <si>
    <t>D-045</t>
  </si>
  <si>
    <t>Área lote: 568.07 m² | Tipología temporal del plano</t>
  </si>
  <si>
    <t>D-046</t>
  </si>
  <si>
    <t>Área lote: 694.45m² | Tipología temporal del plano</t>
  </si>
  <si>
    <t>D-047</t>
  </si>
  <si>
    <t>Área lote: 713.87 m² | Tipología temporal del plano</t>
  </si>
  <si>
    <t>D-048</t>
  </si>
  <si>
    <t>Área lote: 803.22 m² | Tipología temporal del plano</t>
  </si>
  <si>
    <t>D-049</t>
  </si>
  <si>
    <t>Área lote: 724.28 m² | Tipología temporal del plano</t>
  </si>
  <si>
    <t>D-050</t>
  </si>
  <si>
    <t>Área lote: 643.52 m² | Tipología temporal del plano</t>
  </si>
  <si>
    <t>D-051</t>
  </si>
  <si>
    <t>Área lote: 609.52 m² | Tipología temporal del plano</t>
  </si>
  <si>
    <t>D-052</t>
  </si>
  <si>
    <t>Área lote: 762.03 m² | Tipología temporal del plano</t>
  </si>
  <si>
    <t>D-053</t>
  </si>
  <si>
    <t>Área lote: 671.04 m² | Tipología temporal del plano</t>
  </si>
  <si>
    <t>D-054</t>
  </si>
  <si>
    <t>Área lote: 1289.47 m² | Tipología temporal del plano</t>
  </si>
  <si>
    <t>D-055</t>
  </si>
  <si>
    <t>Fase 2</t>
  </si>
  <si>
    <t>Área lote: 739.28 m² | Tipología temporal del plano</t>
  </si>
  <si>
    <t>D-056</t>
  </si>
  <si>
    <t>Área lote: 831.24 m² | Tipología temporal del plano</t>
  </si>
  <si>
    <t>D-057</t>
  </si>
  <si>
    <t>Área lote: 804.93 m² | Tipología temporal del plano</t>
  </si>
  <si>
    <t>D-058</t>
  </si>
  <si>
    <t>Área lote: 870.24 m² | Tipología temporal del plano</t>
  </si>
  <si>
    <t>D-059</t>
  </si>
  <si>
    <t>Área lote: 938.92 m² | Tipología temporal del plano</t>
  </si>
  <si>
    <t>D-060</t>
  </si>
  <si>
    <t>Área lote: 731.57 m² | Tipología temporal del plano</t>
  </si>
  <si>
    <t>D-061</t>
  </si>
  <si>
    <t>Área lote: 1222.16 m² | Tipología temporal del plano</t>
  </si>
  <si>
    <t>D-062</t>
  </si>
  <si>
    <t>Área lote: 810.64 m² | Tipología temporal del plano</t>
  </si>
  <si>
    <t>D-063</t>
  </si>
  <si>
    <t>Área lote: 1217.45 m² | Tipología temporal del plano</t>
  </si>
  <si>
    <t>D-064</t>
  </si>
  <si>
    <t>Área lote: 1047.58 m² | Tipología temporal del plano</t>
  </si>
  <si>
    <t>D-065</t>
  </si>
  <si>
    <t>Área lote: 1024.05 m² | Tipología temporal del plano</t>
  </si>
  <si>
    <t>D-066</t>
  </si>
  <si>
    <t>Área lote: 1305.94 m² | Tipología temporal del plano</t>
  </si>
  <si>
    <t>D-067</t>
  </si>
  <si>
    <t>Área lote: 1329.16 m² | Tipología temporal del plano</t>
  </si>
  <si>
    <t>D-068</t>
  </si>
  <si>
    <t>Área lote: 921.61 m² | Tipología temporal del plano</t>
  </si>
  <si>
    <t>D-069</t>
  </si>
  <si>
    <t>Área lote: 1124.37m² | Tipología temporal del plano</t>
  </si>
  <si>
    <t>D-070</t>
  </si>
  <si>
    <t>Área lote: 848.10 m² | Tipología temporal del plano</t>
  </si>
  <si>
    <t>D-071</t>
  </si>
  <si>
    <t>Área lote: 1354.81 m² | Tipología temporal del plano</t>
  </si>
  <si>
    <t>D-072</t>
  </si>
  <si>
    <t>Área lote: 990.91 m² | Tipología temporal del plano</t>
  </si>
  <si>
    <t>D-073</t>
  </si>
  <si>
    <t>Área lote: 999.81 m² | Tipología temporal del plano</t>
  </si>
  <si>
    <t>D-074</t>
  </si>
  <si>
    <t>Área lote: 772.56 m² | Tipología temporal del plano</t>
  </si>
  <si>
    <t>D-075</t>
  </si>
  <si>
    <t>Área lote: 727.66 m² | Tipología temporal del plano</t>
  </si>
  <si>
    <t>D-076</t>
  </si>
  <si>
    <t>Área lote: 839.45 m² | Tipología temporal del plano</t>
  </si>
  <si>
    <t>D-077</t>
  </si>
  <si>
    <t>Área lote: 693.48 m² | Tipología temporal del plano</t>
  </si>
  <si>
    <t>D-078</t>
  </si>
  <si>
    <t>Área lote: 863.42 m² | Tipología temporal del plano</t>
  </si>
  <si>
    <t>D-079</t>
  </si>
  <si>
    <t>Área lote: 1029.37 m² | Tipología temporal del plano</t>
  </si>
  <si>
    <t>D-080</t>
  </si>
  <si>
    <t>Área lote: 716.35 m² | Tipología temporal del plano</t>
  </si>
  <si>
    <t>D-081</t>
  </si>
  <si>
    <t>Área lote: 699.55 m² | Tipología temporal del plano</t>
  </si>
  <si>
    <t>D-082</t>
  </si>
  <si>
    <t>Área lote: 762.09 m² | Tipología temporal del plano</t>
  </si>
  <si>
    <t>D-083</t>
  </si>
  <si>
    <t>Área lote: 676.39 m² | Tipología temporal del plano</t>
  </si>
  <si>
    <t>D-084</t>
  </si>
  <si>
    <t>Área lote: 950.44 m² | Tipología temporal del plano</t>
  </si>
  <si>
    <t>E-001</t>
  </si>
  <si>
    <t>Fase 1</t>
  </si>
  <si>
    <t>Área lote: 526.04 m² | Tipología temporal del plano</t>
  </si>
  <si>
    <t>E-002</t>
  </si>
  <si>
    <t>Área lote: 570.59 m² | Tipología temporal del plano</t>
  </si>
  <si>
    <t>E-003</t>
  </si>
  <si>
    <t>Área lote: 573.53 m² | Tipología temporal del plano</t>
  </si>
  <si>
    <t>E-004</t>
  </si>
  <si>
    <t>Área lote: 756.24 m² | Tipología temporal del plano</t>
  </si>
  <si>
    <t>E-005</t>
  </si>
  <si>
    <t>Área lote: 517.65 m² | Tipología temporal del plano</t>
  </si>
  <si>
    <t>E-006</t>
  </si>
  <si>
    <t>Área lote: 745.89 m² | Tipología temporal del plano</t>
  </si>
  <si>
    <t>E-007</t>
  </si>
  <si>
    <t>Área lote: 765.82 m² | Tipología temporal del plano</t>
  </si>
  <si>
    <t>E-008</t>
  </si>
  <si>
    <t>Área lote: 648.64 m² | Tipología temporal del plano</t>
  </si>
  <si>
    <t>E-009</t>
  </si>
  <si>
    <t>Área lote: 723.32 m² | Tipología temporal del plano</t>
  </si>
  <si>
    <t>E-010</t>
  </si>
  <si>
    <t>Área lote: 644.47 m² | Tipología temporal del plano</t>
  </si>
  <si>
    <t>E-011</t>
  </si>
  <si>
    <t>Área lote: 599.96 m² | Tipología temporal del plano</t>
  </si>
  <si>
    <t>E-012</t>
  </si>
  <si>
    <t>Área lote: 634.46 m² | Tipología temporal del plano</t>
  </si>
  <si>
    <t>E-013</t>
  </si>
  <si>
    <t>Área lote: 761.65 m² | Tipología temporal del plano</t>
  </si>
  <si>
    <t>E-014</t>
  </si>
  <si>
    <t>Área lote: 670.21 m² | Tipología temporal del plano</t>
  </si>
  <si>
    <t>E-015</t>
  </si>
  <si>
    <t>Área lote: 656.40 m² | Tipología temporal del plano</t>
  </si>
  <si>
    <t>E-016</t>
  </si>
  <si>
    <t>Área lote: 696.65 m² | Tipología temporal del plano</t>
  </si>
  <si>
    <t>E-017</t>
  </si>
  <si>
    <t>Área lote: 559.99 m² | Tipología temporal del plano</t>
  </si>
  <si>
    <t>E-018</t>
  </si>
  <si>
    <t>Área lote: 733.12 m² | Tipología temporal del plano</t>
  </si>
  <si>
    <t>E-019</t>
  </si>
  <si>
    <t>Área lote: 640.84 m² | Tipología temporal del plano</t>
  </si>
  <si>
    <t>E-020</t>
  </si>
  <si>
    <t>Área lote: 648.91 m² | Tipología temporal del plano</t>
  </si>
  <si>
    <t>E-021</t>
  </si>
  <si>
    <t>Área lote: 540.47 m² | Tipología temporal del plano</t>
  </si>
  <si>
    <t>E-022</t>
  </si>
  <si>
    <t>Área lote: 662.46 m² | Tipología temporal del plano</t>
  </si>
  <si>
    <t>E-023</t>
  </si>
  <si>
    <t>Área lote: 775.34 m² | Tipología temporal del plano</t>
  </si>
  <si>
    <t>E-024</t>
  </si>
  <si>
    <t>Área lote: 745.47 m² | Tipología temporal del plano</t>
  </si>
  <si>
    <t>E-025</t>
  </si>
  <si>
    <t>Área lote: 670.43 m² | Tipología temporal del plano</t>
  </si>
  <si>
    <t>E-026</t>
  </si>
  <si>
    <t>Área lote: 542.06 m² | Tipología temporal del plano</t>
  </si>
  <si>
    <t>E-027</t>
  </si>
  <si>
    <t>Área lote: 556.16m² | Tipología temporal del plano</t>
  </si>
  <si>
    <t>E-028</t>
  </si>
  <si>
    <t>Área lote: 565.84 m² | Tipología temporal del plano</t>
  </si>
  <si>
    <t>E-029</t>
  </si>
  <si>
    <t>Área lote: 745.66 m² | Tipología temporal del plano</t>
  </si>
  <si>
    <t>E-030</t>
  </si>
  <si>
    <t>Área lote: 640.65 m² | Tipología temporal del plano</t>
  </si>
  <si>
    <t>E-031</t>
  </si>
  <si>
    <t>Área lote: 581.95 m² | Tipología temporal del plano</t>
  </si>
  <si>
    <t>E-032</t>
  </si>
  <si>
    <t>Área lote: 523.19 m² | Tipología temporal del plano</t>
  </si>
  <si>
    <t>E-033</t>
  </si>
  <si>
    <t>Área lote: 631.47 m² | Tipología temporal del plano</t>
  </si>
  <si>
    <t>E-034</t>
  </si>
  <si>
    <t>Área lote: 587.53 m² | Tipología temporal del plano</t>
  </si>
  <si>
    <t>E-035</t>
  </si>
  <si>
    <t>Área lote: 624.06 m² | Tipología temporal del plano</t>
  </si>
  <si>
    <t>E-036</t>
  </si>
  <si>
    <t>Área lote: 619.19 m² | Tipología temporal del plano</t>
  </si>
  <si>
    <t>E-037</t>
  </si>
  <si>
    <t>Área lote: 649.81 m² | Tipología temporal del plano</t>
  </si>
  <si>
    <t>E-038</t>
  </si>
  <si>
    <t>Área lote: 706.38 m² | Tipología temporal del plano</t>
  </si>
  <si>
    <t>E-039</t>
  </si>
  <si>
    <t>Área lote: 598.11 m² | Tipología temporal del plano</t>
  </si>
  <si>
    <t>E-040</t>
  </si>
  <si>
    <t>Área lote: 600.45 m² | Tipología temporal del plano</t>
  </si>
  <si>
    <t>E-041</t>
  </si>
  <si>
    <t>Área lote: 543.86 m² | Tipología temporal del plano</t>
  </si>
  <si>
    <t>E-042</t>
  </si>
  <si>
    <t>Área lote: 514.86 m² | Tipología temporal del plano</t>
  </si>
  <si>
    <t>E-043</t>
  </si>
  <si>
    <t>Área lote: 617.64 m² | Tipología temporal del plano</t>
  </si>
  <si>
    <t>E-044</t>
  </si>
  <si>
    <t>Área lote: 640.51 m² | Tipología temporal del plano</t>
  </si>
  <si>
    <t>E-045</t>
  </si>
  <si>
    <t>Área lote: 716.83 m² | Tipología temporal del plano</t>
  </si>
  <si>
    <t>E-046</t>
  </si>
  <si>
    <t>Área lote: 629.35 m² | Tipología temporal del plano</t>
  </si>
  <si>
    <t>E-047</t>
  </si>
  <si>
    <t>Área lote: 667.75 m² | Tipología temporal del plano</t>
  </si>
  <si>
    <t>E-048</t>
  </si>
  <si>
    <t>Área lote: 666.58 m² | Tipología temporal del plano</t>
  </si>
  <si>
    <t>E-049</t>
  </si>
  <si>
    <t>Área lote: 610.66 m² | Tipología temporal del plano</t>
  </si>
  <si>
    <t>E-050</t>
  </si>
  <si>
    <t>Área lote: 528.73 m² | Tipología temporal del plano</t>
  </si>
  <si>
    <t>E-051</t>
  </si>
  <si>
    <t>Área lote: 635.74 m² | Tipología temporal del plano</t>
  </si>
  <si>
    <t>E-052</t>
  </si>
  <si>
    <t>Área lote: 571.20 m² | Tipología temporal del plano</t>
  </si>
  <si>
    <t>E-053</t>
  </si>
  <si>
    <t>Área lote: 594.76 m² | Tipología temporal del plano</t>
  </si>
  <si>
    <t>E-054</t>
  </si>
  <si>
    <t>Área lote: 571.22 m² | Tipología temporal del plano</t>
  </si>
  <si>
    <t>E-055</t>
  </si>
  <si>
    <t>Área lote: 530.14 m² | Tipología temporal del plano</t>
  </si>
  <si>
    <t>E-056</t>
  </si>
  <si>
    <t>Área lote: 624.99 m² | Tipología temporal del plano</t>
  </si>
  <si>
    <t>E-057</t>
  </si>
  <si>
    <t>Área lote: 795.94 m² | Tipología temporal del plano</t>
  </si>
  <si>
    <t>E-058</t>
  </si>
  <si>
    <t>Área lote: 766.81 m² | Tipología temporal del plano</t>
  </si>
  <si>
    <t>E-059</t>
  </si>
  <si>
    <t>Área lote: 712.57 m² | Tipología temporal del plano</t>
  </si>
  <si>
    <t>E-060</t>
  </si>
  <si>
    <t>Área lote: 768.91 m² | Tipología temporal del plano</t>
  </si>
  <si>
    <t>E-061</t>
  </si>
  <si>
    <t>Área lote: 817.59 m² | Tipología temporal del plano</t>
  </si>
  <si>
    <t>E-062</t>
  </si>
  <si>
    <t>Área lote: 957.12 m² | Tipología temporal del plano</t>
  </si>
  <si>
    <t>E-063</t>
  </si>
  <si>
    <t>Área lote: 1101.92 m² | Tipología temporal del plano</t>
  </si>
  <si>
    <t>E-064</t>
  </si>
  <si>
    <t>Área lote: 745.35 m² | Tipología temporal del plano</t>
  </si>
  <si>
    <t>E-065</t>
  </si>
  <si>
    <t>Área lote: 713.82 m² | Tipología temporal del plano</t>
  </si>
  <si>
    <t>E-066</t>
  </si>
  <si>
    <t>Área lote: 960.72 m² | Tipología temporal del plano</t>
  </si>
  <si>
    <t>E-067</t>
  </si>
  <si>
    <t>Área lote: 968.00 m² | Tipología temporal del plano</t>
  </si>
  <si>
    <t>E-068</t>
  </si>
  <si>
    <t>Área lote: 793.52 m² | Tipología temporal del plano</t>
  </si>
  <si>
    <t>E-069</t>
  </si>
  <si>
    <t>Área lote: 936.99 m² | Tipología temporal del plano</t>
  </si>
  <si>
    <t>E-070</t>
  </si>
  <si>
    <t>Área lote: 865.64 m² | Tipología temporal del plano</t>
  </si>
  <si>
    <t>E-071</t>
  </si>
  <si>
    <t>Área lote: 684.97 m² | Tipología temporal del plano</t>
  </si>
  <si>
    <t>E-072</t>
  </si>
  <si>
    <t>Área lote: 680.29 m² | Tipología temporal del plano</t>
  </si>
  <si>
    <t>E-073</t>
  </si>
  <si>
    <t>Área lote: 611.85 m² | Tipología temporal del plano</t>
  </si>
  <si>
    <t>E-074</t>
  </si>
  <si>
    <t>Área lote: 670.33 m² | Tipología temporal del plano</t>
  </si>
  <si>
    <t>E-075</t>
  </si>
  <si>
    <t>Área lote: 658.73 m² | Tipología temporal del plano</t>
  </si>
  <si>
    <t>E-076</t>
  </si>
  <si>
    <t>Área lote: 700.16 m² | Tipología temporal del plano</t>
  </si>
  <si>
    <t>E-077</t>
  </si>
  <si>
    <t>Área lote: 643.60 m² | Tipología temporal del plano</t>
  </si>
  <si>
    <t>E-078</t>
  </si>
  <si>
    <t>Área lote: 644.40 m² | Tipología temporal del plano</t>
  </si>
  <si>
    <t>E-079</t>
  </si>
  <si>
    <t>Área lote: 656.97 m² | Tipología temporal del plano</t>
  </si>
  <si>
    <t>PRECIOS DE VENTA POR UNIDAD — método por componentes (lote + interior + terraza)</t>
  </si>
  <si>
    <t>Precio venta = Área lote (m²) × $/m² lote  +  m² Interior × $/m² interior  +  m² Terraza × $/m² terraza.   m² interior y terraza se traen de la hoja Unidades (→ Tipologias); el área de lote se extrajo del texto de la columna "Notas" de Unidades.</t>
  </si>
  <si>
    <t>PARÁMETROS DE PRECIO (editar solo celdas amarillas)</t>
  </si>
  <si>
    <t>RESUMEN POR TIPOLOGÍA</t>
  </si>
  <si>
    <t>$/m² Área lote</t>
  </si>
  <si>
    <t>USD / m² de parcela</t>
  </si>
  <si>
    <t>Tipología</t>
  </si>
  <si>
    <t>Nombre</t>
  </si>
  <si>
    <t>Lote mín (m²)</t>
  </si>
  <si>
    <t>Lote máx (m²)</t>
  </si>
  <si>
    <t>Precio mín ($)</t>
  </si>
  <si>
    <t>Precio máx ($)</t>
  </si>
  <si>
    <t>Precio promedio ($)</t>
  </si>
  <si>
    <t>Gross Sell-Out ($)</t>
  </si>
  <si>
    <t>$/m² Interior</t>
  </si>
  <si>
    <t>USD / m² interior privativo</t>
  </si>
  <si>
    <t>$/m² Terraza</t>
  </si>
  <si>
    <t>USD / m² de terraza</t>
  </si>
  <si>
    <t>Valor lote
($)</t>
  </si>
  <si>
    <t>Valor interior
($)</t>
  </si>
  <si>
    <t>Valor terraza
($)</t>
  </si>
  <si>
    <t>PRECIO VENTA
($)</t>
  </si>
  <si>
    <t>$/m² privativo
(precio ÷ int+terr)</t>
  </si>
  <si>
    <t>Leyenda:</t>
  </si>
  <si>
    <t>Parámetro — lo edita Landmass</t>
  </si>
  <si>
    <t>Área de lote (dato del plano / notas)</t>
  </si>
  <si>
    <t>Calculado / traído de otra hoja</t>
  </si>
  <si>
    <t>Precio de venta resultante</t>
  </si>
  <si>
    <t>CLASIFICACIÓN DE LOTES — atributos que generan premiums / descuentos</t>
  </si>
  <si>
    <t>SIMULACIÓN: los atributos de las columnas E–I se asignaron al azar (semilla fija) según la distribución indicada en la columna P. NO son datos reales del master plan. Sustitúyelos con los desplegables; la columna J y la hoja Precios_v2 se recalculan solas. Los % de ajuste (celdas amarillas) también son propuestas editables.</t>
  </si>
  <si>
    <t>Ajuste %</t>
  </si>
  <si>
    <t>Posición</t>
  </si>
  <si>
    <t>Pendiente</t>
  </si>
  <si>
    <t>Cercanía amenidades</t>
  </si>
  <si>
    <t>Privacidad</t>
  </si>
  <si>
    <t>Distribución usada en la simulación</t>
  </si>
  <si>
    <t>Mar</t>
  </si>
  <si>
    <t>Esquina</t>
  </si>
  <si>
    <t>Suave</t>
  </si>
  <si>
    <t>Cerca</t>
  </si>
  <si>
    <t>Alta</t>
  </si>
  <si>
    <t>Vista: Mar 25%, Montaña 45%, Sin vista 30%</t>
  </si>
  <si>
    <t>Montaña</t>
  </si>
  <si>
    <t>Interior</t>
  </si>
  <si>
    <t>Media</t>
  </si>
  <si>
    <t>Normal</t>
  </si>
  <si>
    <t>Posición: Esquina 15%, Interior 75%, Junto a vial 10%</t>
  </si>
  <si>
    <t>Sin vista</t>
  </si>
  <si>
    <t>Junto a vial</t>
  </si>
  <si>
    <t>Fuerte</t>
  </si>
  <si>
    <t>Lejos</t>
  </si>
  <si>
    <t>Baja</t>
  </si>
  <si>
    <t>Pendiente: Suave 40%, Media 40%, Fuerte 20%</t>
  </si>
  <si>
    <t>Cercanía amenidades: Cerca 25%, Media 50%, Lejos 25%</t>
  </si>
  <si>
    <t>Σ ajuste % de cada lote = suma de los cinco ajustes. El precio base de la tipología se multiplica por (1 + Σ).</t>
  </si>
  <si>
    <t>Privacidad: Alta 20%, Normal 65%, Baja 15%</t>
  </si>
  <si>
    <t>Cercanía
amenidades</t>
  </si>
  <si>
    <t>Σ ajuste %</t>
  </si>
  <si>
    <t>Origen del
dato</t>
  </si>
  <si>
    <t>Simulado</t>
  </si>
  <si>
    <t>PRECIOS v2 — base por tipología + lote estándar + premiums (simulación)</t>
  </si>
  <si>
    <t>Precio v2 = Base tipología × (1 + Σ ajustes % del lote)  +  (m² lote − lote estándar) × $/m² excedente  −  (déficit m²) × $/m² déficit,  redondeado. La base incluye el lote estándar. Σ ajustes viene de la hoja Lotes (SIMULADA). Base sugerida = m² interior × $/m² interior + m² terraza × $/m² terraza + lote estándar × $/m² lote (parámetros de la hoja Precios), redondeada a miles.</t>
  </si>
  <si>
    <t>PARÁMETROS (editar solo celdas amarillas)</t>
  </si>
  <si>
    <t>RESUMEN POR TIPOLOGÍA — v2 vs método actual</t>
  </si>
  <si>
    <t>Lote estándar
(m²)</t>
  </si>
  <si>
    <t>Base sugerida
($)</t>
  </si>
  <si>
    <t>BASE TIPOLOGÍA
($) — editable</t>
  </si>
  <si>
    <t>Otros parámetros</t>
  </si>
  <si>
    <t>Valor</t>
  </si>
  <si>
    <t>Uds</t>
  </si>
  <si>
    <t>Precio v2 mín</t>
  </si>
  <si>
    <t>Precio v2 máx</t>
  </si>
  <si>
    <t>Precio v2 prom.</t>
  </si>
  <si>
    <t>Sell-out v2</t>
  </si>
  <si>
    <t>Sell-out actual</t>
  </si>
  <si>
    <t>Δ $</t>
  </si>
  <si>
    <t>Δ %</t>
  </si>
  <si>
    <t>$/m² lote excedente (sobre el estándar)</t>
  </si>
  <si>
    <t>$/m² lote déficit (descuento bajo el estándar)</t>
  </si>
  <si>
    <t>Redondeo del precio de lista ($)</t>
  </si>
  <si>
    <t>Excedente
(m²)</t>
  </si>
  <si>
    <t>Déficit
(m²)</t>
  </si>
  <si>
    <t>Base tipología
($)</t>
  </si>
  <si>
    <t>Σ ajustes %
(Lotes)</t>
  </si>
  <si>
    <t>Base ajustada
($)</t>
  </si>
  <si>
    <t>Ajuste lote
($)</t>
  </si>
  <si>
    <t>PRECIO v2
($)</t>
  </si>
  <si>
    <t>Precio método
actual ($)</t>
  </si>
  <si>
    <t>Diferencia
($)</t>
  </si>
  <si>
    <t>Diferencia
(%)</t>
  </si>
  <si>
    <t>$/m² privativo
v2</t>
  </si>
  <si>
    <t>Parámetro editable (Landmass)</t>
  </si>
  <si>
    <t>Calculado</t>
  </si>
  <si>
    <t>Precio v2 resultante</t>
  </si>
  <si>
    <t>Dato simulado (hoja Lotes) — sustituir</t>
  </si>
  <si>
    <t>DATOS COMERCIALES Y FINANCIEROS — LANDMASS  (no es para el arquitecto)</t>
  </si>
  <si>
    <t>Concepto</t>
  </si>
  <si>
    <t>Unidad</t>
  </si>
  <si>
    <t>Quién aporta</t>
  </si>
  <si>
    <t>1 · COMERCIAL</t>
  </si>
  <si>
    <t>Moneda base</t>
  </si>
  <si>
    <t>USD</t>
  </si>
  <si>
    <t>Landmass</t>
  </si>
  <si>
    <t>Urbatrix puede mostrar EUR/CAD/MXN como conversión.</t>
  </si>
  <si>
    <t>Tasa de cambio USD/DOP</t>
  </si>
  <si>
    <t>DOP/USD</t>
  </si>
  <si>
    <t>(estándar de mercado a confirmar) — solo si se vende en DOP.</t>
  </si>
  <si>
    <t>Reserva por unidad</t>
  </si>
  <si>
    <t>Makai usó US$5,000.</t>
  </si>
  <si>
    <t>¿Reserva reembolsable?</t>
  </si>
  <si>
    <t>Sí/No</t>
  </si>
  <si>
    <t>% a la reserva / firma</t>
  </si>
  <si>
    <t>%</t>
  </si>
  <si>
    <t>% durante construcción</t>
  </si>
  <si>
    <t>Debe sumar 100% con los otros dos.</t>
  </si>
  <si>
    <t>% contra entrega</t>
  </si>
  <si>
    <t>Delta Lista 0 → Lista 1</t>
  </si>
  <si>
    <t>Plusvalía al cumplir hito.</t>
  </si>
  <si>
    <t>Hito que dispara Lista 1</t>
  </si>
  <si>
    <t>texto</t>
  </si>
  <si>
    <t>Ej.: inicio de excavación.</t>
  </si>
  <si>
    <t>Delta Lista 1 → Lista 2</t>
  </si>
  <si>
    <t>Hito que dispara Lista 2</t>
  </si>
  <si>
    <t>Ej.: obra gris completa.</t>
  </si>
  <si>
    <t>Fecha estimada de entrega</t>
  </si>
  <si>
    <t>fecha</t>
  </si>
  <si>
    <t>Por fase, si aplica.</t>
  </si>
  <si>
    <t>2 · TIERRA</t>
  </si>
  <si>
    <t>Modalidad</t>
  </si>
  <si>
    <t>Directa/Ruta B/Mixto</t>
  </si>
  <si>
    <t>Monto de compra (si directa)</t>
  </si>
  <si>
    <t>Ruta B — % cap table al aportante</t>
  </si>
  <si>
    <t>(estándar a confirmar) — propuesta 30%.</t>
  </si>
  <si>
    <t>Ruta B — % flujo neto a CxP socio</t>
  </si>
  <si>
    <t>(estándar a confirmar) — rango 10%–12% por unidad entregada.</t>
  </si>
  <si>
    <t>Valor referencial del terreno</t>
  </si>
  <si>
    <t>Para el cap table / equity.</t>
  </si>
  <si>
    <t>3 · CONSTRUCCIÓN</t>
  </si>
  <si>
    <t>Costo de construcción</t>
  </si>
  <si>
    <t>USD/m²</t>
  </si>
  <si>
    <t>Arquitecto/Constructor</t>
  </si>
  <si>
    <t>(estándar a confirmar) — clave para el modelo.</t>
  </si>
  <si>
    <t>Hard Costs (% del costo de obra)</t>
  </si>
  <si>
    <t>Constructor</t>
  </si>
  <si>
    <t>Soft Costs (% del costo de obra)</t>
  </si>
  <si>
    <t>Diseño, permisos, fideicomiso, legal.</t>
  </si>
  <si>
    <t>Contingencia de construcción</t>
  </si>
  <si>
    <t>CFO</t>
  </si>
  <si>
    <t>(estándar a confirmar) — rango 5%–10%.</t>
  </si>
  <si>
    <t>Plazo de obra</t>
  </si>
  <si>
    <t>meses</t>
  </si>
  <si>
    <t>N° de fases</t>
  </si>
  <si>
    <t>#</t>
  </si>
  <si>
    <t>4 · FINANCIAMIENTO (DEUDA)</t>
  </si>
  <si>
    <t>¿Préstamo interino?</t>
  </si>
  <si>
    <t>Monto del préstamo</t>
  </si>
  <si>
    <t>Tasa anual</t>
  </si>
  <si>
    <t>Banco</t>
  </si>
  <si>
    <t>(a confirmar)</t>
  </si>
  <si>
    <t>Plazo</t>
  </si>
  <si>
    <t>5 · OPEX / COMERCIAL</t>
  </si>
  <si>
    <t>Comisión de venta (brokers)</t>
  </si>
  <si>
    <t>(estándar a confirmar) — rango 4%–6%.</t>
  </si>
  <si>
    <t>Presupuesto de marketing</t>
  </si>
  <si>
    <t>Fee de Desarrollo Landmass</t>
  </si>
  <si>
    <t>Sobre costo o sobre ventas — definir base.</t>
  </si>
  <si>
    <t>6 · INCENTIVOS / OBJETIVO</t>
  </si>
  <si>
    <t>¿Aplica CONFOTUR?</t>
  </si>
  <si>
    <t>Validar con asesor fiscal/legal certificado en RD.</t>
  </si>
  <si>
    <t>Margen neto objetivo</t>
  </si>
  <si>
    <t>TIR objetivo / hurdle</t>
  </si>
  <si>
    <t>Múltiplo de capital objetivo (MoM)</t>
  </si>
  <si>
    <t>x</t>
  </si>
  <si>
    <t>Tasa de descuento (WACC)</t>
  </si>
  <si>
    <t>(estándar a confirmar) — corporativo 12%–15%.</t>
  </si>
  <si>
    <t>SUPUESTOS, ESTÁNDARES Y DEFINICIONES</t>
  </si>
  <si>
    <t>A · DATOS FÍSICOS CONFIRMADOS (brochure)</t>
  </si>
  <si>
    <t>Parcela total del proyecto</t>
  </si>
  <si>
    <t>20,652</t>
  </si>
  <si>
    <t>m²</t>
  </si>
  <si>
    <t>Brochure Master Plan.</t>
  </si>
  <si>
    <t>Zonas comunes</t>
  </si>
  <si>
    <t>650</t>
  </si>
  <si>
    <t>Ubicación</t>
  </si>
  <si>
    <t>Las Terrenas, Samaná</t>
  </si>
  <si>
    <t>≈60 km de la ciudad de Samaná.</t>
  </si>
  <si>
    <t>Amenidades</t>
  </si>
  <si>
    <t>Piscina, beach club, restaurante, wellness, golf, store</t>
  </si>
  <si>
    <t>Brochure.</t>
  </si>
  <si>
    <t>B · ESTÁNDARES DE MERCADO (a confirmar)</t>
  </si>
  <si>
    <t>Eficiencia arquitectónica objetivo</t>
  </si>
  <si>
    <t>80% – 85%</t>
  </si>
  <si>
    <t>Área vendible ÷ área bruta.</t>
  </si>
  <si>
    <t>5% – 10%</t>
  </si>
  <si>
    <t>Sobre hard costs.</t>
  </si>
  <si>
    <t>Comisión de venta</t>
  </si>
  <si>
    <t>4% – 6%</t>
  </si>
  <si>
    <t>Brokers / fuerza de ventas.</t>
  </si>
  <si>
    <t>12% – 15%</t>
  </si>
  <si>
    <t>Estándar corporativo Landmass.</t>
  </si>
  <si>
    <t>Ruta B — cap table al aportante</t>
  </si>
  <si>
    <t>30%</t>
  </si>
  <si>
    <t>Propuesta estándar de la firma.</t>
  </si>
  <si>
    <t>Ruta B — CxP socio</t>
  </si>
  <si>
    <t>10% – 12% del flujo neto</t>
  </si>
  <si>
    <t>Por unidad vendida y entregada.</t>
  </si>
  <si>
    <t>C · DEFINICIONES</t>
  </si>
  <si>
    <t>Eficiencia arquitectónica</t>
  </si>
  <si>
    <t>m² interior privativo (vendible) ÷ m² construido bruto. Cuánto del área construida se traduce en metros vendibles.</t>
  </si>
  <si>
    <t>m² Privativo total</t>
  </si>
  <si>
    <t>Interior + terraza + roof de la unidad. Base sugerida para aplicar el $/m².</t>
  </si>
  <si>
    <t>Gross Sell-Out</t>
  </si>
  <si>
    <t>Suma de los precios de venta de todas las unidades (ingreso bruto potencial del proyecto).</t>
  </si>
  <si>
    <t>Pre-sales ladder</t>
  </si>
  <si>
    <t>Listas escalonadas (0/1/2) cuyo precio sube al cumplir hitos de obra, para capturar plusvalía.</t>
  </si>
  <si>
    <t>Ruta B (aporte de terreno)</t>
  </si>
  <si>
    <t>El dueño del suelo lo aporta a cambio del 30% del cap table + una CxP a socio que se amortiza con 10%–12% del flujo neto por unidad entregada. La CxP es drenaje de caja, no costo de obra.</t>
  </si>
  <si>
    <t>Cap Rate / Exit value</t>
  </si>
  <si>
    <t>Para activos en renta (comercial/hotelero): valor de salida = NOI ÷ cap rate.</t>
  </si>
  <si>
    <t>Aviso: esta herramienta es apoyo a la decisión, no sustituye asesoría fiscal, legal, notarial o contable certificada en RD (CONFOTUR, ITBI, fideicomiso, retenciones).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</si>
</sst>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
    <numFmt numFmtId="167" formatCode="#,##0;;\-"/>
    <numFmt numFmtId="168" formatCode="#,##0.00;;\-"/>
    <numFmt numFmtId="169" formatCode="\$#,##0;&quot;($&quot;#,##0\);\-"/>
    <numFmt numFmtId="170" formatCode="\$#,##0"/>
    <numFmt numFmtId="171" formatCode="0&quot; uds&quot;"/>
    <numFmt numFmtId="172" formatCode="\+0.0%;\-0.0%;0.0%"/>
    <numFmt numFmtId="173" formatCode="0.0%;\-0.0%;\-"/>
  </numFmts>
  <fonts count="36" x14ac:knownFonts="1">
    <font>
      <sz val="11"/>
      <color theme="1"/>
      <name val="Calibri"/>
      <charset val="1"/>
    </font>
    <font>
      <b/>
      <sz val="18"/>
      <color rgb="FFFFFFFF"/>
      <name val="Arial"/>
      <charset val="1"/>
    </font>
    <font>
      <b/>
      <sz val="11"/>
      <color rgb="FFFFFFFF"/>
      <name val="Arial"/>
      <charset val="1"/>
    </font>
    <font>
      <b/>
      <sz val="10"/>
      <color rgb="FFFFFFFF"/>
      <name val="Arial"/>
      <charset val="1"/>
    </font>
    <font>
      <sz val="10"/>
      <color rgb="FF1A1A1A"/>
      <name val="Arial"/>
      <charset val="1"/>
    </font>
    <font>
      <b/>
      <sz val="10"/>
      <color rgb="FF1A1A1A"/>
      <name val="Arial"/>
      <charset val="1"/>
    </font>
    <font>
      <sz val="10"/>
      <color rgb="FFFFFFFF"/>
      <name val="Arial"/>
      <charset val="1"/>
    </font>
    <font>
      <i/>
      <sz val="9"/>
      <color rgb="FF808080"/>
      <name val="Arial"/>
      <charset val="1"/>
    </font>
    <font>
      <b/>
      <sz val="13"/>
      <color rgb="FFFFFFFF"/>
      <name val="Arial"/>
      <charset val="1"/>
    </font>
    <font>
      <b/>
      <sz val="9"/>
      <color rgb="FFFFFFFF"/>
      <name val="Arial"/>
      <charset val="1"/>
    </font>
    <font>
      <b/>
      <sz val="25"/>
      <color rgb="FF1A1A1A"/>
      <name val="Arial"/>
      <charset val="1"/>
    </font>
    <font>
      <sz val="17"/>
      <color rgb="FF1A1A1A"/>
      <name val="Arial"/>
      <charset val="1"/>
    </font>
    <font>
      <i/>
      <sz val="9"/>
      <color rgb="FF8A0E20"/>
      <name val="Arial"/>
      <charset val="1"/>
    </font>
    <font>
      <b/>
      <sz val="10"/>
      <color rgb="FF000000"/>
      <name val="Arial"/>
      <charset val="1"/>
    </font>
    <font>
      <i/>
      <sz val="9"/>
      <color rgb="FF000000"/>
      <name val="Arial"/>
      <charset val="1"/>
    </font>
    <font>
      <b/>
      <sz val="12"/>
      <color rgb="FFFFFFFF"/>
      <name val="Arial"/>
      <charset val="1"/>
    </font>
    <font>
      <sz val="11"/>
      <color rgb="FF1A1A1A"/>
      <name val="Arial"/>
      <charset val="1"/>
    </font>
    <font>
      <sz val="9"/>
      <color rgb="FF1A1A1A"/>
      <name val="Arial"/>
      <charset val="1"/>
    </font>
    <font>
      <sz val="10"/>
      <color rgb="FF0000FF"/>
      <name val="Arial"/>
      <charset val="1"/>
    </font>
    <font>
      <b/>
      <sz val="10"/>
      <name val="Arial"/>
      <charset val="1"/>
    </font>
    <font>
      <sz val="11"/>
      <color theme="1"/>
      <name val="Arial"/>
      <charset val="1"/>
    </font>
    <font>
      <sz val="9"/>
      <color theme="1"/>
      <name val="Arial"/>
      <charset val="1"/>
    </font>
    <font>
      <sz val="10"/>
      <name val="Arial"/>
      <family val="2"/>
    </font>
    <font>
      <b/>
      <sz val="14"/>
      <name val="Arial"/>
      <charset val="1"/>
    </font>
    <font>
      <i/>
      <sz val="9"/>
      <color rgb="FF595959"/>
      <name val="Arial"/>
      <charset val="1"/>
    </font>
    <font>
      <sz val="10"/>
      <name val="Arial"/>
      <charset val="1"/>
    </font>
    <font>
      <sz val="9"/>
      <color rgb="FF595959"/>
      <name val="Arial"/>
      <charset val="1"/>
    </font>
    <font>
      <sz val="10"/>
      <color rgb="FF008000"/>
      <name val="Arial"/>
      <charset val="1"/>
    </font>
    <font>
      <sz val="10"/>
      <color rgb="FF595959"/>
      <name val="Arial"/>
      <charset val="1"/>
    </font>
    <font>
      <b/>
      <sz val="9"/>
      <name val="Arial"/>
      <charset val="1"/>
    </font>
    <font>
      <sz val="9"/>
      <name val="Arial"/>
      <charset val="1"/>
    </font>
    <font>
      <i/>
      <sz val="9"/>
      <color rgb="FFC00000"/>
      <name val="Arial"/>
      <charset val="1"/>
    </font>
    <font>
      <sz val="9"/>
      <color rgb="FFC00000"/>
      <name val="Arial"/>
      <charset val="1"/>
    </font>
    <font>
      <b/>
      <sz val="10"/>
      <color rgb="FF0000FF"/>
      <name val="Arial"/>
      <charset val="1"/>
    </font>
    <font>
      <i/>
      <sz val="9"/>
      <color rgb="FF6A6A6A"/>
      <name val="Arial"/>
      <charset val="1"/>
    </font>
    <font>
      <i/>
      <sz val="9"/>
      <color rgb="FFC0182C"/>
      <name val="Arial"/>
      <charset val="1"/>
    </font>
  </fonts>
  <fills count="17">
    <fill>
      <patternFill patternType="none"/>
    </fill>
    <fill>
      <patternFill patternType="gray125"/>
    </fill>
    <fill>
      <patternFill patternType="solid">
        <fgColor rgb="FF1A1A1A"/>
        <bgColor rgb="FF333300"/>
      </patternFill>
    </fill>
    <fill>
      <patternFill patternType="solid">
        <fgColor rgb="FFC0182C"/>
        <bgColor rgb="FFC00000"/>
      </patternFill>
    </fill>
    <fill>
      <patternFill patternType="solid">
        <fgColor rgb="FFF2F2F2"/>
        <bgColor rgb="FFE2EFDA"/>
      </patternFill>
    </fill>
    <fill>
      <patternFill patternType="solid">
        <fgColor rgb="FFFCE4E4"/>
        <bgColor rgb="FFFCE4D6"/>
      </patternFill>
    </fill>
    <fill>
      <patternFill patternType="solid">
        <fgColor rgb="FFFFF2CC"/>
        <bgColor rgb="FFFCE4D6"/>
      </patternFill>
    </fill>
    <fill>
      <patternFill patternType="solid">
        <fgColor rgb="FF8A0E20"/>
        <bgColor rgb="FF800000"/>
      </patternFill>
    </fill>
    <fill>
      <patternFill patternType="solid">
        <fgColor rgb="FF7A5C00"/>
        <bgColor rgb="FF595959"/>
      </patternFill>
    </fill>
    <fill>
      <patternFill patternType="solid">
        <fgColor rgb="FF2E7D32"/>
        <bgColor rgb="FF008000"/>
      </patternFill>
    </fill>
    <fill>
      <patternFill patternType="solid">
        <fgColor theme="0"/>
        <bgColor rgb="FFF2F2F2"/>
      </patternFill>
    </fill>
    <fill>
      <patternFill patternType="solid">
        <fgColor rgb="FFE2EFDA"/>
        <bgColor rgb="FFF2F2F2"/>
      </patternFill>
    </fill>
    <fill>
      <patternFill patternType="solid">
        <fgColor rgb="FFD9D9D9"/>
        <bgColor rgb="FFC6E0B4"/>
      </patternFill>
    </fill>
    <fill>
      <patternFill patternType="solid">
        <fgColor rgb="FFC6E0B4"/>
        <bgColor rgb="FFD9D9D9"/>
      </patternFill>
    </fill>
    <fill>
      <patternFill patternType="solid">
        <fgColor rgb="FFFCE4D6"/>
        <bgColor rgb="FFFCE4E4"/>
      </patternFill>
    </fill>
    <fill>
      <patternFill patternType="solid">
        <fgColor rgb="FFFF0000"/>
        <bgColor rgb="FF333300"/>
      </patternFill>
    </fill>
    <fill>
      <patternFill patternType="solid">
        <fgColor rgb="FFFF0000"/>
        <bgColor rgb="FF008000"/>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FFFFFF"/>
      </left>
      <right style="thin">
        <color rgb="FFFFFFFF"/>
      </right>
      <top style="thin">
        <color rgb="FFFFFFFF"/>
      </top>
      <bottom style="thin">
        <color rgb="FFFFFFFF"/>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136">
    <xf numFmtId="0" fontId="0" fillId="0" borderId="0" xfId="0"/>
    <xf numFmtId="0" fontId="9" fillId="7" borderId="0" xfId="0" applyFont="1" applyFill="1" applyAlignment="1">
      <alignment horizontal="center" vertical="center"/>
    </xf>
    <xf numFmtId="0" fontId="9" fillId="3" borderId="0" xfId="0" applyFont="1" applyFill="1" applyAlignment="1">
      <alignment horizontal="center" vertical="center"/>
    </xf>
    <xf numFmtId="0" fontId="9" fillId="2" borderId="0" xfId="0" applyFont="1" applyFill="1" applyAlignment="1">
      <alignment horizontal="center" vertical="center"/>
    </xf>
    <xf numFmtId="0" fontId="8" fillId="2" borderId="0" xfId="0" applyFont="1" applyFill="1" applyAlignment="1">
      <alignment horizontal="left" vertical="center"/>
    </xf>
    <xf numFmtId="0" fontId="7" fillId="0" borderId="0" xfId="0" applyFont="1" applyAlignment="1">
      <alignment horizontal="left" vertical="center"/>
    </xf>
    <xf numFmtId="0" fontId="6" fillId="2" borderId="2" xfId="0" applyFont="1" applyFill="1" applyBorder="1" applyAlignment="1">
      <alignment horizontal="left"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3" fillId="2" borderId="1" xfId="0" applyFont="1" applyFill="1" applyBorder="1" applyAlignment="1">
      <alignment horizontal="center" vertical="center"/>
    </xf>
    <xf numFmtId="0" fontId="4" fillId="0" borderId="0" xfId="0" applyFont="1" applyAlignment="1">
      <alignment horizontal="left" vertical="center" wrapText="1"/>
    </xf>
    <xf numFmtId="0" fontId="2" fillId="3" borderId="0" xfId="0" applyFont="1" applyFill="1" applyAlignment="1">
      <alignment horizontal="left" vertical="center"/>
    </xf>
    <xf numFmtId="0" fontId="3" fillId="3" borderId="0" xfId="0" applyFont="1" applyFill="1" applyAlignment="1">
      <alignment horizontal="left" vertical="center"/>
    </xf>
    <xf numFmtId="0" fontId="2" fillId="2" borderId="0" xfId="0" applyFont="1" applyFill="1" applyAlignment="1">
      <alignment horizontal="left" vertical="center"/>
    </xf>
    <xf numFmtId="0" fontId="1" fillId="2" borderId="0" xfId="0" applyFont="1" applyFill="1" applyAlignment="1">
      <alignment horizontal="left" vertical="center"/>
    </xf>
    <xf numFmtId="0" fontId="3" fillId="2" borderId="1" xfId="0" applyFont="1" applyFill="1" applyBorder="1" applyAlignment="1">
      <alignment horizontal="center" vertical="center"/>
    </xf>
    <xf numFmtId="0" fontId="5" fillId="4" borderId="1" xfId="0" applyFont="1" applyFill="1" applyBorder="1" applyAlignment="1">
      <alignment horizontal="left" vertical="center"/>
    </xf>
    <xf numFmtId="0" fontId="4" fillId="0" borderId="1" xfId="0" applyFont="1" applyBorder="1" applyAlignment="1">
      <alignment horizontal="left" vertical="center" wrapText="1"/>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2" borderId="1" xfId="0" applyFont="1" applyFill="1" applyBorder="1" applyAlignment="1">
      <alignment horizontal="center" vertical="center"/>
    </xf>
    <xf numFmtId="0" fontId="9" fillId="2" borderId="0" xfId="0" applyFont="1" applyFill="1" applyAlignment="1">
      <alignment horizontal="center" vertical="center"/>
    </xf>
    <xf numFmtId="0" fontId="9" fillId="2"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0" borderId="1" xfId="0" applyFont="1" applyBorder="1" applyAlignment="1">
      <alignment horizontal="left" vertical="center" wrapText="1"/>
    </xf>
    <xf numFmtId="164" fontId="4" fillId="5" borderId="1" xfId="0" applyNumberFormat="1" applyFont="1" applyFill="1" applyBorder="1" applyAlignment="1">
      <alignment horizontal="center" vertical="center"/>
    </xf>
    <xf numFmtId="164" fontId="4" fillId="4" borderId="1" xfId="0" applyNumberFormat="1" applyFont="1" applyFill="1" applyBorder="1" applyAlignment="1">
      <alignment horizontal="center" vertical="center"/>
    </xf>
    <xf numFmtId="165" fontId="4" fillId="4" borderId="1" xfId="0" applyNumberFormat="1" applyFont="1" applyFill="1" applyBorder="1" applyAlignment="1">
      <alignment horizontal="center" vertical="center"/>
    </xf>
    <xf numFmtId="166" fontId="4" fillId="6" borderId="1" xfId="0" applyNumberFormat="1" applyFont="1" applyFill="1" applyBorder="1" applyAlignment="1">
      <alignment horizontal="center" vertical="center"/>
    </xf>
    <xf numFmtId="0" fontId="12" fillId="0" borderId="1" xfId="0" applyFont="1" applyBorder="1" applyAlignment="1">
      <alignment horizontal="left" vertical="center" wrapText="1"/>
    </xf>
    <xf numFmtId="0" fontId="13" fillId="5" borderId="1" xfId="0" applyFont="1" applyFill="1" applyBorder="1" applyAlignment="1">
      <alignment horizontal="left" vertical="center" wrapText="1"/>
    </xf>
    <xf numFmtId="0" fontId="14" fillId="5" borderId="1" xfId="0" applyFont="1" applyFill="1" applyBorder="1" applyAlignment="1">
      <alignment horizontal="left" vertical="center" wrapText="1"/>
    </xf>
    <xf numFmtId="0" fontId="3" fillId="2" borderId="1" xfId="0" applyFont="1" applyFill="1" applyBorder="1" applyAlignment="1">
      <alignment horizontal="left" vertical="center"/>
    </xf>
    <xf numFmtId="0" fontId="4" fillId="2" borderId="1" xfId="0" applyFont="1" applyFill="1" applyBorder="1" applyAlignment="1">
      <alignment horizontal="left" vertical="center"/>
    </xf>
    <xf numFmtId="167" fontId="3" fillId="2" borderId="1" xfId="0" applyNumberFormat="1" applyFont="1" applyFill="1" applyBorder="1" applyAlignment="1">
      <alignment horizontal="center" vertical="center"/>
    </xf>
    <xf numFmtId="165" fontId="3" fillId="2" borderId="1" xfId="0" applyNumberFormat="1" applyFont="1" applyFill="1" applyBorder="1" applyAlignment="1">
      <alignment horizontal="center" vertical="center"/>
    </xf>
    <xf numFmtId="164" fontId="3" fillId="2" borderId="1" xfId="0" applyNumberFormat="1" applyFont="1" applyFill="1" applyBorder="1" applyAlignment="1">
      <alignment horizontal="center" vertical="center"/>
    </xf>
    <xf numFmtId="166" fontId="3" fillId="2" borderId="1" xfId="0" applyNumberFormat="1" applyFont="1" applyFill="1" applyBorder="1" applyAlignment="1">
      <alignment horizontal="center" vertical="center"/>
    </xf>
    <xf numFmtId="0" fontId="9" fillId="2" borderId="1" xfId="0" applyFont="1" applyFill="1" applyBorder="1" applyAlignment="1">
      <alignment horizontal="left" vertical="center" wrapText="1"/>
    </xf>
    <xf numFmtId="0" fontId="9" fillId="2" borderId="3" xfId="0" applyFont="1" applyFill="1" applyBorder="1" applyAlignment="1">
      <alignment horizontal="center" vertical="center" wrapText="1"/>
    </xf>
    <xf numFmtId="0" fontId="9" fillId="9" borderId="3" xfId="0" applyFont="1" applyFill="1" applyBorder="1" applyAlignment="1">
      <alignment horizontal="center" vertical="center" wrapText="1"/>
    </xf>
    <xf numFmtId="0" fontId="9" fillId="9" borderId="1" xfId="0" applyFont="1" applyFill="1" applyBorder="1" applyAlignment="1">
      <alignment horizontal="center" vertical="center" wrapText="1"/>
    </xf>
    <xf numFmtId="0" fontId="16" fillId="5" borderId="4" xfId="0" applyFont="1" applyFill="1" applyBorder="1" applyAlignment="1">
      <alignment horizontal="center"/>
    </xf>
    <xf numFmtId="0" fontId="5" fillId="5" borderId="4" xfId="0" applyFont="1" applyFill="1" applyBorder="1" applyAlignment="1">
      <alignment horizontal="center" vertical="center"/>
    </xf>
    <xf numFmtId="0" fontId="4" fillId="5" borderId="4" xfId="0" applyFont="1" applyFill="1" applyBorder="1" applyAlignment="1">
      <alignment horizontal="center" vertical="center"/>
    </xf>
    <xf numFmtId="0" fontId="4" fillId="4" borderId="4" xfId="0" applyFont="1" applyFill="1" applyBorder="1" applyAlignment="1">
      <alignment horizontal="center" vertical="center"/>
    </xf>
    <xf numFmtId="164" fontId="4" fillId="4" borderId="4" xfId="0" applyNumberFormat="1" applyFont="1" applyFill="1" applyBorder="1" applyAlignment="1">
      <alignment horizontal="center" vertical="center"/>
    </xf>
    <xf numFmtId="166" fontId="4" fillId="6" borderId="4" xfId="0" applyNumberFormat="1" applyFont="1" applyFill="1" applyBorder="1" applyAlignment="1">
      <alignment horizontal="center" vertical="center"/>
    </xf>
    <xf numFmtId="0" fontId="17" fillId="10" borderId="4" xfId="0" applyFont="1" applyFill="1" applyBorder="1"/>
    <xf numFmtId="168" fontId="18" fillId="5" borderId="1" xfId="0" applyNumberFormat="1" applyFont="1" applyFill="1" applyBorder="1"/>
    <xf numFmtId="166" fontId="19" fillId="11" borderId="1" xfId="0" applyNumberFormat="1" applyFont="1" applyFill="1" applyBorder="1"/>
    <xf numFmtId="169" fontId="19" fillId="11" borderId="1" xfId="0" applyNumberFormat="1" applyFont="1" applyFill="1" applyBorder="1"/>
    <xf numFmtId="0" fontId="16" fillId="5" borderId="5" xfId="0" applyFont="1" applyFill="1" applyBorder="1" applyAlignment="1">
      <alignment horizontal="center"/>
    </xf>
    <xf numFmtId="0" fontId="5" fillId="5" borderId="5" xfId="0" applyFont="1" applyFill="1" applyBorder="1" applyAlignment="1">
      <alignment horizontal="center" vertical="center"/>
    </xf>
    <xf numFmtId="0" fontId="4" fillId="5" borderId="5" xfId="0" applyFont="1" applyFill="1" applyBorder="1" applyAlignment="1">
      <alignment horizontal="center" vertical="center"/>
    </xf>
    <xf numFmtId="0" fontId="4" fillId="4" borderId="5" xfId="0" applyFont="1" applyFill="1" applyBorder="1" applyAlignment="1">
      <alignment horizontal="center" vertical="center"/>
    </xf>
    <xf numFmtId="164" fontId="4" fillId="4" borderId="5" xfId="0" applyNumberFormat="1" applyFont="1" applyFill="1" applyBorder="1" applyAlignment="1">
      <alignment horizontal="center" vertical="center"/>
    </xf>
    <xf numFmtId="166" fontId="4" fillId="6" borderId="5" xfId="0" applyNumberFormat="1" applyFont="1" applyFill="1" applyBorder="1" applyAlignment="1">
      <alignment horizontal="center" vertical="center"/>
    </xf>
    <xf numFmtId="0" fontId="17" fillId="10" borderId="5" xfId="0" applyFont="1" applyFill="1" applyBorder="1"/>
    <xf numFmtId="0" fontId="20" fillId="5" borderId="5" xfId="0" applyFont="1" applyFill="1" applyBorder="1" applyAlignment="1">
      <alignment horizontal="center"/>
    </xf>
    <xf numFmtId="0" fontId="21" fillId="10" borderId="5" xfId="0" applyFont="1" applyFill="1" applyBorder="1"/>
    <xf numFmtId="0" fontId="23" fillId="0" borderId="0" xfId="0" applyFont="1"/>
    <xf numFmtId="0" fontId="19" fillId="0" borderId="0" xfId="0" applyFont="1"/>
    <xf numFmtId="0" fontId="25" fillId="0" borderId="1" xfId="0" applyFont="1" applyBorder="1"/>
    <xf numFmtId="170" fontId="18" fillId="6" borderId="1" xfId="0" applyNumberFormat="1" applyFont="1" applyFill="1" applyBorder="1" applyAlignment="1">
      <alignment horizontal="right" vertical="center"/>
    </xf>
    <xf numFmtId="0" fontId="26" fillId="0" borderId="1" xfId="0" applyFont="1" applyBorder="1"/>
    <xf numFmtId="0" fontId="3" fillId="2" borderId="1" xfId="0" applyFont="1" applyFill="1" applyBorder="1" applyAlignment="1">
      <alignment horizontal="center" vertical="center" wrapText="1"/>
    </xf>
    <xf numFmtId="0" fontId="25" fillId="4" borderId="1" xfId="0" applyFont="1" applyFill="1" applyBorder="1" applyAlignment="1">
      <alignment horizontal="center"/>
    </xf>
    <xf numFmtId="0" fontId="25" fillId="4" borderId="1" xfId="0" applyFont="1" applyFill="1" applyBorder="1"/>
    <xf numFmtId="1" fontId="25" fillId="4" borderId="1" xfId="0" applyNumberFormat="1" applyFont="1" applyFill="1" applyBorder="1"/>
    <xf numFmtId="168" fontId="25" fillId="4" borderId="1" xfId="0" applyNumberFormat="1" applyFont="1" applyFill="1" applyBorder="1"/>
    <xf numFmtId="166" fontId="25" fillId="4" borderId="1" xfId="0" applyNumberFormat="1" applyFont="1" applyFill="1" applyBorder="1"/>
    <xf numFmtId="0" fontId="3" fillId="9" borderId="1" xfId="0" applyFont="1" applyFill="1" applyBorder="1" applyAlignment="1">
      <alignment horizontal="center" vertical="center" wrapText="1"/>
    </xf>
    <xf numFmtId="0" fontId="27" fillId="4" borderId="1" xfId="0" applyFont="1" applyFill="1" applyBorder="1" applyAlignment="1">
      <alignment horizontal="left" vertical="center"/>
    </xf>
    <xf numFmtId="0" fontId="27" fillId="4" borderId="1" xfId="0" applyFont="1" applyFill="1" applyBorder="1" applyAlignment="1">
      <alignment horizontal="center" vertical="center"/>
    </xf>
    <xf numFmtId="168" fontId="27" fillId="4" borderId="1" xfId="0" applyNumberFormat="1" applyFont="1" applyFill="1" applyBorder="1"/>
    <xf numFmtId="166" fontId="28" fillId="4" borderId="1" xfId="0" applyNumberFormat="1" applyFont="1" applyFill="1" applyBorder="1"/>
    <xf numFmtId="0" fontId="19" fillId="12" borderId="1" xfId="0" applyFont="1" applyFill="1" applyBorder="1"/>
    <xf numFmtId="1" fontId="19" fillId="12" borderId="1" xfId="0" applyNumberFormat="1" applyFont="1" applyFill="1" applyBorder="1"/>
    <xf numFmtId="168" fontId="19" fillId="12" borderId="1" xfId="0" applyNumberFormat="1" applyFont="1" applyFill="1" applyBorder="1"/>
    <xf numFmtId="166" fontId="19" fillId="12" borderId="1" xfId="0" applyNumberFormat="1" applyFont="1" applyFill="1" applyBorder="1"/>
    <xf numFmtId="166" fontId="19" fillId="13" borderId="1" xfId="0" applyNumberFormat="1" applyFont="1" applyFill="1" applyBorder="1"/>
    <xf numFmtId="0" fontId="29" fillId="0" borderId="0" xfId="0" applyFont="1"/>
    <xf numFmtId="0" fontId="0" fillId="6" borderId="1" xfId="0" applyFill="1" applyBorder="1"/>
    <xf numFmtId="0" fontId="30" fillId="0" borderId="0" xfId="0" applyFont="1"/>
    <xf numFmtId="0" fontId="0" fillId="5" borderId="1" xfId="0" applyFill="1" applyBorder="1"/>
    <xf numFmtId="0" fontId="0" fillId="4" borderId="1" xfId="0" applyFill="1" applyBorder="1"/>
    <xf numFmtId="0" fontId="0" fillId="11" borderId="1" xfId="0" applyFill="1" applyBorder="1"/>
    <xf numFmtId="171" fontId="19" fillId="12" borderId="1" xfId="0" applyNumberFormat="1" applyFont="1" applyFill="1" applyBorder="1"/>
    <xf numFmtId="172" fontId="18" fillId="6" borderId="1" xfId="0" applyNumberFormat="1" applyFont="1" applyFill="1" applyBorder="1" applyAlignment="1">
      <alignment horizontal="right" vertical="center"/>
    </xf>
    <xf numFmtId="0" fontId="24" fillId="0" borderId="0" xfId="0" applyFont="1"/>
    <xf numFmtId="0" fontId="27" fillId="4" borderId="1" xfId="0" applyFont="1" applyFill="1" applyBorder="1"/>
    <xf numFmtId="0" fontId="27" fillId="4" borderId="1" xfId="0" applyFont="1" applyFill="1" applyBorder="1" applyAlignment="1">
      <alignment horizontal="center"/>
    </xf>
    <xf numFmtId="0" fontId="25" fillId="6" borderId="1" xfId="0" applyFont="1" applyFill="1" applyBorder="1" applyAlignment="1">
      <alignment horizontal="center"/>
    </xf>
    <xf numFmtId="172" fontId="19" fillId="11" borderId="1" xfId="0" applyNumberFormat="1" applyFont="1" applyFill="1" applyBorder="1" applyAlignment="1">
      <alignment horizontal="right" vertical="center"/>
    </xf>
    <xf numFmtId="0" fontId="32" fillId="14" borderId="1" xfId="0" applyFont="1" applyFill="1" applyBorder="1" applyAlignment="1">
      <alignment horizontal="center"/>
    </xf>
    <xf numFmtId="3" fontId="18" fillId="6" borderId="1" xfId="0" applyNumberFormat="1" applyFont="1" applyFill="1" applyBorder="1" applyAlignment="1">
      <alignment horizontal="right" vertical="center"/>
    </xf>
    <xf numFmtId="170" fontId="25" fillId="4" borderId="1" xfId="0" applyNumberFormat="1" applyFont="1" applyFill="1" applyBorder="1"/>
    <xf numFmtId="170" fontId="33" fillId="6" borderId="1" xfId="0" applyNumberFormat="1" applyFont="1" applyFill="1" applyBorder="1" applyAlignment="1">
      <alignment horizontal="right" vertical="center"/>
    </xf>
    <xf numFmtId="169" fontId="25" fillId="4" borderId="1" xfId="0" applyNumberFormat="1" applyFont="1" applyFill="1" applyBorder="1"/>
    <xf numFmtId="169" fontId="19" fillId="4" borderId="1" xfId="0" applyNumberFormat="1" applyFont="1" applyFill="1" applyBorder="1"/>
    <xf numFmtId="173" fontId="25" fillId="4" borderId="1" xfId="0" applyNumberFormat="1" applyFont="1" applyFill="1" applyBorder="1" applyAlignment="1">
      <alignment horizontal="right" vertical="center"/>
    </xf>
    <xf numFmtId="169" fontId="19" fillId="12" borderId="1" xfId="0" applyNumberFormat="1" applyFont="1" applyFill="1" applyBorder="1"/>
    <xf numFmtId="169" fontId="19" fillId="13" borderId="1" xfId="0" applyNumberFormat="1" applyFont="1" applyFill="1" applyBorder="1"/>
    <xf numFmtId="173" fontId="19" fillId="12" borderId="1" xfId="0" applyNumberFormat="1" applyFont="1" applyFill="1" applyBorder="1" applyAlignment="1">
      <alignment horizontal="right" vertical="center"/>
    </xf>
    <xf numFmtId="3" fontId="25" fillId="4" borderId="1" xfId="0" applyNumberFormat="1" applyFont="1" applyFill="1" applyBorder="1"/>
    <xf numFmtId="172" fontId="27" fillId="4" borderId="1" xfId="0" applyNumberFormat="1" applyFont="1" applyFill="1" applyBorder="1" applyAlignment="1">
      <alignment horizontal="right" vertical="center"/>
    </xf>
    <xf numFmtId="169" fontId="27" fillId="4" borderId="1" xfId="0" applyNumberFormat="1" applyFont="1" applyFill="1" applyBorder="1"/>
    <xf numFmtId="0" fontId="0" fillId="14" borderId="1" xfId="0" applyFill="1" applyBorder="1"/>
    <xf numFmtId="0" fontId="25" fillId="12" borderId="1" xfId="0" applyFont="1" applyFill="1" applyBorder="1"/>
    <xf numFmtId="172" fontId="19" fillId="12" borderId="1" xfId="0" applyNumberFormat="1" applyFont="1" applyFill="1" applyBorder="1" applyAlignment="1">
      <alignment horizontal="right" vertical="center"/>
    </xf>
    <xf numFmtId="0" fontId="5" fillId="6" borderId="1" xfId="0" applyFont="1" applyFill="1" applyBorder="1" applyAlignment="1">
      <alignment horizontal="center" vertical="center"/>
    </xf>
    <xf numFmtId="0" fontId="4" fillId="0" borderId="1" xfId="0" applyFont="1" applyBorder="1" applyAlignment="1">
      <alignment horizontal="center" vertical="center"/>
    </xf>
    <xf numFmtId="0" fontId="17" fillId="0" borderId="1" xfId="0" applyFont="1" applyBorder="1" applyAlignment="1">
      <alignment horizontal="center" vertical="center" wrapText="1"/>
    </xf>
    <xf numFmtId="0" fontId="34" fillId="0" borderId="1" xfId="0" applyFont="1" applyBorder="1" applyAlignment="1">
      <alignment horizontal="left" vertical="center" wrapText="1"/>
    </xf>
    <xf numFmtId="165" fontId="5" fillId="6" borderId="1" xfId="0" applyNumberFormat="1" applyFont="1" applyFill="1" applyBorder="1" applyAlignment="1">
      <alignment horizontal="center" vertical="center"/>
    </xf>
    <xf numFmtId="166" fontId="5" fillId="6" borderId="1" xfId="0" applyNumberFormat="1" applyFont="1" applyFill="1" applyBorder="1" applyAlignment="1">
      <alignment horizontal="center" vertical="center"/>
    </xf>
    <xf numFmtId="0" fontId="4" fillId="0" borderId="1" xfId="0" applyFont="1" applyBorder="1" applyAlignment="1">
      <alignment horizontal="left" vertical="center"/>
    </xf>
    <xf numFmtId="0" fontId="5" fillId="4" borderId="1" xfId="0" applyFont="1" applyFill="1" applyBorder="1" applyAlignment="1">
      <alignment horizontal="center" vertical="center"/>
    </xf>
    <xf numFmtId="0" fontId="5" fillId="0" borderId="1" xfId="0" applyFont="1" applyBorder="1" applyAlignment="1">
      <alignment horizontal="left" vertical="center" wrapText="1"/>
    </xf>
    <xf numFmtId="0" fontId="9" fillId="8" borderId="0" xfId="0" applyFont="1" applyFill="1" applyAlignment="1">
      <alignment horizontal="center" vertical="center"/>
    </xf>
    <xf numFmtId="0" fontId="7" fillId="0" borderId="0" xfId="0" applyFont="1" applyAlignment="1">
      <alignment horizontal="left" vertical="center" wrapText="1"/>
    </xf>
    <xf numFmtId="0" fontId="15" fillId="2" borderId="3" xfId="0" applyFont="1" applyFill="1" applyBorder="1" applyAlignment="1">
      <alignment horizontal="left" vertical="center"/>
    </xf>
    <xf numFmtId="0" fontId="24" fillId="0" borderId="0" xfId="0" applyFont="1" applyAlignment="1">
      <alignment vertical="top" wrapText="1"/>
    </xf>
    <xf numFmtId="0" fontId="19" fillId="0" borderId="0" xfId="0" applyFont="1"/>
    <xf numFmtId="0" fontId="31" fillId="0" borderId="0" xfId="0" applyFont="1" applyAlignment="1">
      <alignment vertical="top" wrapText="1"/>
    </xf>
    <xf numFmtId="0" fontId="3" fillId="2" borderId="2" xfId="0" applyFont="1" applyFill="1" applyBorder="1" applyAlignment="1">
      <alignment horizontal="center" vertical="center" wrapText="1"/>
    </xf>
    <xf numFmtId="0" fontId="25" fillId="4" borderId="1" xfId="0" applyFont="1" applyFill="1" applyBorder="1"/>
    <xf numFmtId="0" fontId="15" fillId="2" borderId="0" xfId="0" applyFont="1" applyFill="1" applyAlignment="1">
      <alignment horizontal="left" vertical="center"/>
    </xf>
    <xf numFmtId="0" fontId="3" fillId="3" borderId="2" xfId="0" applyFont="1" applyFill="1" applyBorder="1" applyAlignment="1">
      <alignment horizontal="left" vertical="center"/>
    </xf>
    <xf numFmtId="0" fontId="34" fillId="0" borderId="2" xfId="0" applyFont="1" applyBorder="1" applyAlignment="1">
      <alignment horizontal="left" vertical="center" wrapText="1"/>
    </xf>
    <xf numFmtId="0" fontId="17" fillId="0" borderId="2" xfId="0" applyFont="1" applyBorder="1" applyAlignment="1">
      <alignment horizontal="left" vertical="center" wrapText="1"/>
    </xf>
    <xf numFmtId="0" fontId="35" fillId="0" borderId="0" xfId="0" applyFont="1" applyAlignment="1">
      <alignment horizontal="left"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A0E20"/>
      <rgbColor rgb="FF008000"/>
      <rgbColor rgb="FF000080"/>
      <rgbColor rgb="FF7A5C00"/>
      <rgbColor rgb="FF800080"/>
      <rgbColor rgb="FF008080"/>
      <rgbColor rgb="FFBFBFBF"/>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6E0B4"/>
      <rgbColor rgb="FFE2EFDA"/>
      <rgbColor rgb="FFFCE4E4"/>
      <rgbColor rgb="FF99CCFF"/>
      <rgbColor rgb="FFFF99CC"/>
      <rgbColor rgb="FFCC99FF"/>
      <rgbColor rgb="FFFCE4D6"/>
      <rgbColor rgb="FF3366FF"/>
      <rgbColor rgb="FF33CCCC"/>
      <rgbColor rgb="FF99CC00"/>
      <rgbColor rgb="FFFFCC00"/>
      <rgbColor rgb="FFFF9900"/>
      <rgbColor rgb="FFED7D31"/>
      <rgbColor rgb="FF6A6A6A"/>
      <rgbColor rgb="FF969696"/>
      <rgbColor rgb="FF003366"/>
      <rgbColor rgb="FF2E7D32"/>
      <rgbColor rgb="FF003300"/>
      <rgbColor rgb="FF333300"/>
      <rgbColor rgb="FFC0182C"/>
      <rgbColor rgb="FF993366"/>
      <rgbColor rgb="FF59595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D32"/>
  </sheetPr>
  <dimension ref="A1:AC243"/>
  <sheetViews>
    <sheetView tabSelected="1" zoomScale="90" zoomScaleNormal="90" workbookViewId="0">
      <pane ySplit="9" topLeftCell="A10" activePane="bottomLeft" state="frozen"/>
      <selection pane="bottomLeft" activeCell="AE26" sqref="AE26"/>
    </sheetView>
  </sheetViews>
  <sheetFormatPr baseColWidth="10" defaultColWidth="8.7109375" defaultRowHeight="15" x14ac:dyDescent="0.25"/>
  <cols>
    <col min="1" max="1" width="14" customWidth="1"/>
    <col min="2" max="2" width="10" customWidth="1"/>
    <col min="3" max="3" width="9" customWidth="1"/>
    <col min="4" max="6" width="11" customWidth="1"/>
    <col min="7" max="7" width="12" hidden="1" customWidth="1"/>
    <col min="8" max="8" width="14" hidden="1" customWidth="1"/>
    <col min="9" max="9" width="13" hidden="1" customWidth="1"/>
    <col min="10" max="10" width="15" customWidth="1"/>
    <col min="11" max="11" width="15" hidden="1" customWidth="1"/>
    <col min="12" max="12" width="3" hidden="1" customWidth="1"/>
    <col min="13" max="13" width="10" hidden="1" customWidth="1"/>
    <col min="14" max="14" width="12" hidden="1" customWidth="1"/>
    <col min="15" max="15" width="9" hidden="1" customWidth="1"/>
    <col min="16" max="17" width="12" hidden="1" customWidth="1"/>
    <col min="18" max="19" width="14" hidden="1" customWidth="1"/>
    <col min="20" max="20" width="16" hidden="1" customWidth="1"/>
    <col min="21" max="21" width="17" hidden="1" customWidth="1"/>
    <col min="22" max="28" width="0" hidden="1" customWidth="1"/>
  </cols>
  <sheetData>
    <row r="1" spans="1:29" ht="17.25" hidden="1" customHeight="1" x14ac:dyDescent="0.25">
      <c r="A1" s="62" t="s">
        <v>580</v>
      </c>
    </row>
    <row r="2" spans="1:29" ht="30" hidden="1" customHeight="1" x14ac:dyDescent="0.25">
      <c r="A2" s="124" t="s">
        <v>581</v>
      </c>
      <c r="B2" s="124"/>
      <c r="C2" s="124"/>
      <c r="D2" s="124"/>
      <c r="E2" s="124"/>
      <c r="F2" s="124"/>
      <c r="G2" s="124"/>
      <c r="H2" s="124"/>
      <c r="I2" s="124"/>
      <c r="J2" s="124"/>
      <c r="K2" s="124"/>
    </row>
    <row r="3" spans="1:29" hidden="1" x14ac:dyDescent="0.25"/>
    <row r="4" spans="1:29" ht="15" hidden="1" customHeight="1" x14ac:dyDescent="0.25">
      <c r="A4" s="125" t="s">
        <v>582</v>
      </c>
      <c r="B4" s="125"/>
      <c r="C4" s="125"/>
      <c r="M4" s="63" t="s">
        <v>583</v>
      </c>
    </row>
    <row r="5" spans="1:29" ht="30" hidden="1" customHeight="1" x14ac:dyDescent="0.25">
      <c r="A5" s="64" t="s">
        <v>584</v>
      </c>
      <c r="B5" s="65">
        <v>30</v>
      </c>
      <c r="C5" s="66" t="s">
        <v>585</v>
      </c>
      <c r="M5" s="67" t="s">
        <v>586</v>
      </c>
      <c r="N5" s="67" t="s">
        <v>587</v>
      </c>
      <c r="O5" s="67" t="s">
        <v>17</v>
      </c>
      <c r="P5" s="67" t="s">
        <v>588</v>
      </c>
      <c r="Q5" s="67" t="s">
        <v>589</v>
      </c>
      <c r="R5" s="67" t="s">
        <v>590</v>
      </c>
      <c r="S5" s="67" t="s">
        <v>591</v>
      </c>
      <c r="T5" s="67" t="s">
        <v>592</v>
      </c>
      <c r="U5" s="67" t="s">
        <v>593</v>
      </c>
    </row>
    <row r="6" spans="1:29" ht="15" hidden="1" customHeight="1" x14ac:dyDescent="0.25">
      <c r="A6" s="64" t="s">
        <v>594</v>
      </c>
      <c r="B6" s="65">
        <v>1900</v>
      </c>
      <c r="C6" s="66" t="s">
        <v>595</v>
      </c>
      <c r="M6" s="68" t="s">
        <v>67</v>
      </c>
      <c r="N6" s="69" t="str">
        <f>IFERROR(VLOOKUP(M6,Tipologias!$A$4:$B$8,2,0),"")</f>
        <v>VILLA A</v>
      </c>
      <c r="O6" s="70">
        <f>COUNTIF($B$10:$B$242,M6)</f>
        <v>32</v>
      </c>
      <c r="P6" s="71">
        <f>_xlfn.MINIFS($F$10:$F$242,$B$10:$B$242,M6)</f>
        <v>733.29</v>
      </c>
      <c r="Q6" s="71">
        <f>_xlfn.MAXIFS($F$10:$F$242,$B$10:$B$242,M6)</f>
        <v>1228.17</v>
      </c>
      <c r="R6" s="72">
        <f>_xlfn.MINIFS($J$10:$J$242,$B$10:$B$242,M6)</f>
        <v>699565.99999999988</v>
      </c>
      <c r="S6" s="72">
        <f>_xlfn.MAXIFS($J$10:$J$242,$B$10:$B$242,M6)</f>
        <v>714412.39999999991</v>
      </c>
      <c r="T6" s="72">
        <f>IFERROR(AVERAGEIF($B$10:$B$242,M6,$J$10:$J$242),"")</f>
        <v>703719.14375000005</v>
      </c>
      <c r="U6" s="72">
        <f>SUMIF($B$10:$B$242,M6,$J$10:$J$242)</f>
        <v>22519012.600000001</v>
      </c>
    </row>
    <row r="7" spans="1:29" ht="15" hidden="1" customHeight="1" x14ac:dyDescent="0.25">
      <c r="A7" s="64" t="s">
        <v>596</v>
      </c>
      <c r="B7" s="65">
        <v>700</v>
      </c>
      <c r="C7" s="66" t="s">
        <v>597</v>
      </c>
      <c r="M7" s="68" t="s">
        <v>74</v>
      </c>
      <c r="N7" s="69" t="str">
        <f>IFERROR(VLOOKUP(M7,Tipologias!$A$4:$B$8,2,0),"")</f>
        <v>VILLA B</v>
      </c>
      <c r="O7" s="70">
        <f>COUNTIF($B$10:$B$242,M7)</f>
        <v>14</v>
      </c>
      <c r="P7" s="71">
        <f>_xlfn.MINIFS($F$10:$F$242,$B$10:$B$242,M7)</f>
        <v>729.71</v>
      </c>
      <c r="Q7" s="71">
        <f>_xlfn.MAXIFS($F$10:$F$242,$B$10:$B$242,M7)</f>
        <v>1127.3900000000001</v>
      </c>
      <c r="R7" s="72">
        <f>_xlfn.MINIFS($J$10:$J$242,$B$10:$B$242,M7)</f>
        <v>424621.9</v>
      </c>
      <c r="S7" s="72">
        <f>_xlfn.MAXIFS($J$10:$J$242,$B$10:$B$242,M7)</f>
        <v>436552.30000000005</v>
      </c>
      <c r="T7" s="72">
        <f>IFERROR(AVERAGEIF($B$10:$B$242,M7,$J$10:$J$242),"")</f>
        <v>427448.82142857142</v>
      </c>
      <c r="U7" s="72">
        <f>SUMIF($B$10:$B$242,M7,$J$10:$J$242)</f>
        <v>5984283.5</v>
      </c>
    </row>
    <row r="8" spans="1:29" ht="15" hidden="1" customHeight="1" x14ac:dyDescent="0.25">
      <c r="M8" s="68" t="s">
        <v>78</v>
      </c>
      <c r="N8" s="69" t="str">
        <f>IFERROR(VLOOKUP(M8,Tipologias!$A$4:$B$8,2,0),"")</f>
        <v>VILLA C</v>
      </c>
      <c r="O8" s="70">
        <f>COUNTIF($B$10:$B$242,M8)</f>
        <v>24</v>
      </c>
      <c r="P8" s="71">
        <f>_xlfn.MINIFS($F$10:$F$242,$B$10:$B$242,M8)</f>
        <v>708.38</v>
      </c>
      <c r="Q8" s="71">
        <f>_xlfn.MAXIFS($F$10:$F$242,$B$10:$B$242,M8)</f>
        <v>1404.01</v>
      </c>
      <c r="R8" s="72">
        <f>_xlfn.MINIFS($J$10:$J$242,$B$10:$B$242,M8)</f>
        <v>348188.60000000003</v>
      </c>
      <c r="S8" s="72">
        <f>_xlfn.MAXIFS($J$10:$J$242,$B$10:$B$242,M8)</f>
        <v>369057.5</v>
      </c>
      <c r="T8" s="72">
        <f>IFERROR(AVERAGEIF($B$10:$B$242,M8,$J$10:$J$242),"")</f>
        <v>355927.2</v>
      </c>
      <c r="U8" s="72">
        <f>SUMIF($B$10:$B$242,M8,$J$10:$J$242)</f>
        <v>8542252.8000000007</v>
      </c>
    </row>
    <row r="9" spans="1:29" ht="31.5" customHeight="1" x14ac:dyDescent="0.25">
      <c r="A9" s="134" t="s">
        <v>96</v>
      </c>
      <c r="B9" s="134" t="s">
        <v>97</v>
      </c>
      <c r="C9" s="134" t="s">
        <v>98</v>
      </c>
      <c r="D9" s="134" t="s">
        <v>100</v>
      </c>
      <c r="E9" s="134" t="s">
        <v>53</v>
      </c>
      <c r="F9" s="134" t="s">
        <v>109</v>
      </c>
      <c r="G9" s="134" t="s">
        <v>598</v>
      </c>
      <c r="H9" s="134" t="s">
        <v>599</v>
      </c>
      <c r="I9" s="134" t="s">
        <v>600</v>
      </c>
      <c r="J9" s="135" t="s">
        <v>601</v>
      </c>
      <c r="K9" s="67" t="s">
        <v>602</v>
      </c>
      <c r="M9" s="68" t="s">
        <v>82</v>
      </c>
      <c r="N9" s="69" t="str">
        <f>IFERROR(VLOOKUP(M9,Tipologias!$A$4:$B$8,2,0),"")</f>
        <v>VILLA D</v>
      </c>
      <c r="O9" s="70">
        <f>COUNTIF($B$10:$B$242,M9)</f>
        <v>84</v>
      </c>
      <c r="P9" s="71">
        <f>_xlfn.MINIFS($F$10:$F$242,$B$10:$B$242,M9)</f>
        <v>494.22</v>
      </c>
      <c r="Q9" s="71">
        <f>_xlfn.MAXIFS($F$10:$F$242,$B$10:$B$242,M9)</f>
        <v>1354.81</v>
      </c>
      <c r="R9" s="72">
        <f>_xlfn.MINIFS($J$10:$J$242,$B$10:$B$242,M9)</f>
        <v>253480.7</v>
      </c>
      <c r="S9" s="72">
        <f>_xlfn.MAXIFS($J$10:$J$242,$B$10:$B$242,M9)</f>
        <v>279298.40000000002</v>
      </c>
      <c r="T9" s="72">
        <f>IFERROR(AVERAGEIF($B$10:$B$242,M9,$J$10:$J$242),"")</f>
        <v>262828.47142857133</v>
      </c>
      <c r="U9" s="72">
        <f>SUMIF($B$10:$B$242,M9,$J$10:$J$242)</f>
        <v>22077591.59999999</v>
      </c>
      <c r="AC9" s="67" t="s">
        <v>50</v>
      </c>
    </row>
    <row r="10" spans="1:29" ht="15" customHeight="1" x14ac:dyDescent="0.25">
      <c r="A10" s="74" t="str">
        <f>Unidades!A3</f>
        <v>A-001</v>
      </c>
      <c r="B10" s="75" t="str">
        <f>Unidades!B3</f>
        <v>T1</v>
      </c>
      <c r="C10" s="75" t="str">
        <f>Unidades!C3</f>
        <v>Fase 4</v>
      </c>
      <c r="D10" s="76">
        <f>Unidades!H3</f>
        <v>321.62099999999998</v>
      </c>
      <c r="E10" s="76">
        <f>Unidades!I3</f>
        <v>94.981999999999999</v>
      </c>
      <c r="F10" s="50">
        <v>1004.58</v>
      </c>
      <c r="G10" s="72">
        <f t="shared" ref="G10:G73" si="0">F10*$B$5</f>
        <v>30137.4</v>
      </c>
      <c r="H10" s="72">
        <f t="shared" ref="H10:H73" si="1">D10*$B$6</f>
        <v>611079.89999999991</v>
      </c>
      <c r="I10" s="72">
        <f t="shared" ref="I10:I73" si="2">E10*$B$7</f>
        <v>66487.399999999994</v>
      </c>
      <c r="J10" s="51">
        <f t="shared" ref="J10:J73" si="3">G10+H10+I10</f>
        <v>707704.7</v>
      </c>
      <c r="K10" s="77">
        <f t="shared" ref="K10:K73" si="4">IFERROR(J10/(D10+E10),"")</f>
        <v>1698.7508491297472</v>
      </c>
      <c r="M10" s="68" t="s">
        <v>87</v>
      </c>
      <c r="N10" s="69" t="str">
        <f>IFERROR(VLOOKUP(M10,Tipologias!$A$4:$B$8,2,0),"")</f>
        <v>VILLA E</v>
      </c>
      <c r="O10" s="70">
        <f>COUNTIF($B$10:$B$242,M10)</f>
        <v>79</v>
      </c>
      <c r="P10" s="71">
        <f>_xlfn.MINIFS($F$10:$F$242,$B$10:$B$242,M10)</f>
        <v>514.86</v>
      </c>
      <c r="Q10" s="71">
        <f>_xlfn.MAXIFS($F$10:$F$242,$B$10:$B$242,M10)</f>
        <v>1101.92</v>
      </c>
      <c r="R10" s="72">
        <f>_xlfn.MINIFS($J$10:$J$242,$B$10:$B$242,M10)</f>
        <v>326600.40000000002</v>
      </c>
      <c r="S10" s="72">
        <f>_xlfn.MAXIFS($J$10:$J$242,$B$10:$B$242,M10)</f>
        <v>344212.20000000007</v>
      </c>
      <c r="T10" s="72">
        <f>IFERROR(AVERAGEIF($B$10:$B$242,M10,$J$10:$J$242),"")</f>
        <v>331342.73164556967</v>
      </c>
      <c r="U10" s="72">
        <f>SUMIF($B$10:$B$242,M10,$J$10:$J$242)</f>
        <v>26176075.800000004</v>
      </c>
      <c r="AC10" s="94" t="s">
        <v>616</v>
      </c>
    </row>
    <row r="11" spans="1:29" ht="15" customHeight="1" x14ac:dyDescent="0.25">
      <c r="A11" s="74" t="str">
        <f>Unidades!A4</f>
        <v>A-002</v>
      </c>
      <c r="B11" s="75" t="str">
        <f>Unidades!B4</f>
        <v>T1</v>
      </c>
      <c r="C11" s="75" t="str">
        <f>Unidades!C4</f>
        <v>Fase 4</v>
      </c>
      <c r="D11" s="76">
        <f>Unidades!H4</f>
        <v>321.62099999999998</v>
      </c>
      <c r="E11" s="76">
        <f>Unidades!I4</f>
        <v>94.981999999999999</v>
      </c>
      <c r="F11" s="50">
        <v>1067.4000000000001</v>
      </c>
      <c r="G11" s="72">
        <f t="shared" si="0"/>
        <v>32022.000000000004</v>
      </c>
      <c r="H11" s="72">
        <f t="shared" si="1"/>
        <v>611079.89999999991</v>
      </c>
      <c r="I11" s="72">
        <f t="shared" si="2"/>
        <v>66487.399999999994</v>
      </c>
      <c r="J11" s="51">
        <f t="shared" si="3"/>
        <v>709589.29999999993</v>
      </c>
      <c r="K11" s="77">
        <f t="shared" si="4"/>
        <v>1703.2745803558785</v>
      </c>
      <c r="M11" s="78" t="s">
        <v>91</v>
      </c>
      <c r="N11" s="78"/>
      <c r="O11" s="79">
        <f>SUM(O6:O10)</f>
        <v>233</v>
      </c>
      <c r="P11" s="80">
        <f>MIN($F$10:$F$242)</f>
        <v>494.22</v>
      </c>
      <c r="Q11" s="80">
        <f>MAX($F$10:$F$242)</f>
        <v>1404.01</v>
      </c>
      <c r="R11" s="81">
        <f>MIN($J$10:$J$242)</f>
        <v>253480.7</v>
      </c>
      <c r="S11" s="81">
        <f>MAX($J$10:$J$242)</f>
        <v>714412.39999999991</v>
      </c>
      <c r="T11" s="81">
        <f>IFERROR(AVERAGE($J$10:$J$242),"")</f>
        <v>366091.05708154512</v>
      </c>
      <c r="U11" s="82">
        <f>SUM($J$10:$J$242)</f>
        <v>85299216.300000012</v>
      </c>
      <c r="AC11" s="94" t="s">
        <v>616</v>
      </c>
    </row>
    <row r="12" spans="1:29" ht="15" customHeight="1" x14ac:dyDescent="0.25">
      <c r="A12" s="74" t="str">
        <f>Unidades!A5</f>
        <v>A-003</v>
      </c>
      <c r="B12" s="75" t="str">
        <f>Unidades!B5</f>
        <v>T1</v>
      </c>
      <c r="C12" s="75" t="str">
        <f>Unidades!C5</f>
        <v>Fase 4</v>
      </c>
      <c r="D12" s="76">
        <f>Unidades!H5</f>
        <v>321.62099999999998</v>
      </c>
      <c r="E12" s="76">
        <f>Unidades!I5</f>
        <v>94.981999999999999</v>
      </c>
      <c r="F12" s="50">
        <v>772.2</v>
      </c>
      <c r="G12" s="72">
        <f t="shared" si="0"/>
        <v>23166</v>
      </c>
      <c r="H12" s="72">
        <f t="shared" si="1"/>
        <v>611079.89999999991</v>
      </c>
      <c r="I12" s="72">
        <f t="shared" si="2"/>
        <v>66487.399999999994</v>
      </c>
      <c r="J12" s="51">
        <f t="shared" si="3"/>
        <v>700733.29999999993</v>
      </c>
      <c r="K12" s="77">
        <f t="shared" si="4"/>
        <v>1682.0169321872381</v>
      </c>
      <c r="AC12" s="94" t="s">
        <v>627</v>
      </c>
    </row>
    <row r="13" spans="1:29" ht="15" customHeight="1" x14ac:dyDescent="0.25">
      <c r="A13" s="74" t="str">
        <f>Unidades!A6</f>
        <v>A-004</v>
      </c>
      <c r="B13" s="75" t="str">
        <f>Unidades!B6</f>
        <v>T1</v>
      </c>
      <c r="C13" s="75" t="str">
        <f>Unidades!C6</f>
        <v>Fase 4</v>
      </c>
      <c r="D13" s="76">
        <f>Unidades!H6</f>
        <v>321.62099999999998</v>
      </c>
      <c r="E13" s="76">
        <f>Unidades!I6</f>
        <v>94.981999999999999</v>
      </c>
      <c r="F13" s="50">
        <v>794.87</v>
      </c>
      <c r="G13" s="72">
        <f t="shared" si="0"/>
        <v>23846.1</v>
      </c>
      <c r="H13" s="72">
        <f t="shared" si="1"/>
        <v>611079.89999999991</v>
      </c>
      <c r="I13" s="72">
        <f t="shared" si="2"/>
        <v>66487.399999999994</v>
      </c>
      <c r="J13" s="51">
        <f t="shared" si="3"/>
        <v>701413.39999999991</v>
      </c>
      <c r="K13" s="77">
        <f t="shared" si="4"/>
        <v>1683.6494216316253</v>
      </c>
      <c r="M13" s="83" t="s">
        <v>603</v>
      </c>
      <c r="AC13" s="94" t="s">
        <v>622</v>
      </c>
    </row>
    <row r="14" spans="1:29" ht="15" customHeight="1" x14ac:dyDescent="0.25">
      <c r="A14" s="74" t="str">
        <f>Unidades!A7</f>
        <v>A-005</v>
      </c>
      <c r="B14" s="75" t="str">
        <f>Unidades!B7</f>
        <v>T1</v>
      </c>
      <c r="C14" s="75" t="str">
        <f>Unidades!C7</f>
        <v>Fase 4</v>
      </c>
      <c r="D14" s="76">
        <f>Unidades!H7</f>
        <v>321.62099999999998</v>
      </c>
      <c r="E14" s="76">
        <f>Unidades!I7</f>
        <v>94.981999999999999</v>
      </c>
      <c r="F14" s="50">
        <v>801.89</v>
      </c>
      <c r="G14" s="72">
        <f t="shared" si="0"/>
        <v>24056.7</v>
      </c>
      <c r="H14" s="72">
        <f t="shared" si="1"/>
        <v>611079.89999999991</v>
      </c>
      <c r="I14" s="72">
        <f t="shared" si="2"/>
        <v>66487.399999999994</v>
      </c>
      <c r="J14" s="51">
        <f t="shared" si="3"/>
        <v>701623.99999999988</v>
      </c>
      <c r="K14" s="77">
        <f t="shared" si="4"/>
        <v>1684.15493887466</v>
      </c>
      <c r="M14" s="84"/>
      <c r="N14" s="85" t="s">
        <v>604</v>
      </c>
      <c r="AC14" s="94" t="s">
        <v>622</v>
      </c>
    </row>
    <row r="15" spans="1:29" ht="15" customHeight="1" x14ac:dyDescent="0.25">
      <c r="A15" s="74" t="str">
        <f>Unidades!A8</f>
        <v>A-006</v>
      </c>
      <c r="B15" s="75" t="str">
        <f>Unidades!B8</f>
        <v>T1</v>
      </c>
      <c r="C15" s="75" t="str">
        <f>Unidades!C8</f>
        <v>Fase 4</v>
      </c>
      <c r="D15" s="76">
        <f>Unidades!H8</f>
        <v>321.62099999999998</v>
      </c>
      <c r="E15" s="76">
        <f>Unidades!I8</f>
        <v>94.981999999999999</v>
      </c>
      <c r="F15" s="50">
        <v>828.77</v>
      </c>
      <c r="G15" s="72">
        <f t="shared" si="0"/>
        <v>24863.1</v>
      </c>
      <c r="H15" s="72">
        <f t="shared" si="1"/>
        <v>611079.89999999991</v>
      </c>
      <c r="I15" s="72">
        <f t="shared" si="2"/>
        <v>66487.399999999994</v>
      </c>
      <c r="J15" s="51">
        <f t="shared" si="3"/>
        <v>702430.39999999991</v>
      </c>
      <c r="K15" s="77">
        <f t="shared" si="4"/>
        <v>1686.0905946428613</v>
      </c>
      <c r="M15" s="86"/>
      <c r="N15" s="85" t="s">
        <v>605</v>
      </c>
      <c r="AC15" s="94" t="s">
        <v>627</v>
      </c>
    </row>
    <row r="16" spans="1:29" ht="15" customHeight="1" x14ac:dyDescent="0.25">
      <c r="A16" s="74" t="str">
        <f>Unidades!A9</f>
        <v>A-007</v>
      </c>
      <c r="B16" s="75" t="str">
        <f>Unidades!B9</f>
        <v>T1</v>
      </c>
      <c r="C16" s="75" t="str">
        <f>Unidades!C9</f>
        <v>Fase 4</v>
      </c>
      <c r="D16" s="76">
        <f>Unidades!H9</f>
        <v>321.62099999999998</v>
      </c>
      <c r="E16" s="76">
        <f>Unidades!I9</f>
        <v>94.981999999999999</v>
      </c>
      <c r="F16" s="50">
        <v>788.69</v>
      </c>
      <c r="G16" s="72">
        <f t="shared" si="0"/>
        <v>23660.7</v>
      </c>
      <c r="H16" s="72">
        <f t="shared" si="1"/>
        <v>611079.89999999991</v>
      </c>
      <c r="I16" s="72">
        <f t="shared" si="2"/>
        <v>66487.399999999994</v>
      </c>
      <c r="J16" s="51">
        <f t="shared" si="3"/>
        <v>701227.99999999988</v>
      </c>
      <c r="K16" s="77">
        <f t="shared" si="4"/>
        <v>1683.2043936313469</v>
      </c>
      <c r="M16" s="87"/>
      <c r="N16" s="85" t="s">
        <v>606</v>
      </c>
      <c r="AC16" s="94" t="s">
        <v>622</v>
      </c>
    </row>
    <row r="17" spans="1:29" ht="15" customHeight="1" x14ac:dyDescent="0.25">
      <c r="A17" s="74" t="str">
        <f>Unidades!A10</f>
        <v>A-008</v>
      </c>
      <c r="B17" s="75" t="str">
        <f>Unidades!B10</f>
        <v>T1</v>
      </c>
      <c r="C17" s="75" t="str">
        <f>Unidades!C10</f>
        <v>Fase 4</v>
      </c>
      <c r="D17" s="76">
        <f>Unidades!H10</f>
        <v>321.62099999999998</v>
      </c>
      <c r="E17" s="76">
        <f>Unidades!I10</f>
        <v>94.981999999999999</v>
      </c>
      <c r="F17" s="50">
        <v>1228.17</v>
      </c>
      <c r="G17" s="72">
        <f t="shared" si="0"/>
        <v>36845.100000000006</v>
      </c>
      <c r="H17" s="72">
        <f t="shared" si="1"/>
        <v>611079.89999999991</v>
      </c>
      <c r="I17" s="72">
        <f t="shared" si="2"/>
        <v>66487.399999999994</v>
      </c>
      <c r="J17" s="51">
        <f t="shared" si="3"/>
        <v>714412.39999999991</v>
      </c>
      <c r="K17" s="77">
        <f t="shared" si="4"/>
        <v>1714.8517893534131</v>
      </c>
      <c r="M17" s="88"/>
      <c r="N17" s="85" t="s">
        <v>607</v>
      </c>
      <c r="AC17" s="94" t="s">
        <v>627</v>
      </c>
    </row>
    <row r="18" spans="1:29" ht="15" customHeight="1" x14ac:dyDescent="0.25">
      <c r="A18" s="74" t="str">
        <f>Unidades!A11</f>
        <v>A-009</v>
      </c>
      <c r="B18" s="75" t="str">
        <f>Unidades!B11</f>
        <v>T1</v>
      </c>
      <c r="C18" s="75" t="str">
        <f>Unidades!C11</f>
        <v>Fase 4</v>
      </c>
      <c r="D18" s="76">
        <f>Unidades!H11</f>
        <v>321.62099999999998</v>
      </c>
      <c r="E18" s="76">
        <f>Unidades!I11</f>
        <v>94.981999999999999</v>
      </c>
      <c r="F18" s="50">
        <v>932</v>
      </c>
      <c r="G18" s="72">
        <f t="shared" si="0"/>
        <v>27960</v>
      </c>
      <c r="H18" s="72">
        <f t="shared" si="1"/>
        <v>611079.89999999991</v>
      </c>
      <c r="I18" s="72">
        <f t="shared" si="2"/>
        <v>66487.399999999994</v>
      </c>
      <c r="J18" s="51">
        <f t="shared" si="3"/>
        <v>705527.29999999993</v>
      </c>
      <c r="K18" s="77">
        <f t="shared" si="4"/>
        <v>1693.5242905115902</v>
      </c>
      <c r="AC18" s="94" t="s">
        <v>622</v>
      </c>
    </row>
    <row r="19" spans="1:29" ht="15" customHeight="1" x14ac:dyDescent="0.25">
      <c r="A19" s="74" t="str">
        <f>Unidades!A12</f>
        <v>A-010</v>
      </c>
      <c r="B19" s="75" t="str">
        <f>Unidades!B12</f>
        <v>T1</v>
      </c>
      <c r="C19" s="75" t="str">
        <f>Unidades!C12</f>
        <v>Fase 4</v>
      </c>
      <c r="D19" s="76">
        <f>Unidades!H12</f>
        <v>321.62099999999998</v>
      </c>
      <c r="E19" s="76">
        <f>Unidades!I12</f>
        <v>94.981999999999999</v>
      </c>
      <c r="F19" s="50">
        <v>883.19</v>
      </c>
      <c r="G19" s="72">
        <f t="shared" si="0"/>
        <v>26495.7</v>
      </c>
      <c r="H19" s="72">
        <f t="shared" si="1"/>
        <v>611079.89999999991</v>
      </c>
      <c r="I19" s="72">
        <f t="shared" si="2"/>
        <v>66487.399999999994</v>
      </c>
      <c r="J19" s="51">
        <f t="shared" si="3"/>
        <v>704062.99999999988</v>
      </c>
      <c r="K19" s="77">
        <f t="shared" si="4"/>
        <v>1690.0094334414298</v>
      </c>
      <c r="AC19" s="94" t="s">
        <v>622</v>
      </c>
    </row>
    <row r="20" spans="1:29" ht="15" customHeight="1" x14ac:dyDescent="0.25">
      <c r="A20" s="74" t="str">
        <f>Unidades!A13</f>
        <v>A-011</v>
      </c>
      <c r="B20" s="75" t="str">
        <f>Unidades!B13</f>
        <v>T1</v>
      </c>
      <c r="C20" s="75" t="str">
        <f>Unidades!C13</f>
        <v>Fase 4</v>
      </c>
      <c r="D20" s="76">
        <f>Unidades!H13</f>
        <v>321.62099999999998</v>
      </c>
      <c r="E20" s="76">
        <f>Unidades!I13</f>
        <v>94.981999999999999</v>
      </c>
      <c r="F20" s="50">
        <v>811.64</v>
      </c>
      <c r="G20" s="72">
        <f t="shared" si="0"/>
        <v>24349.200000000001</v>
      </c>
      <c r="H20" s="72">
        <f t="shared" si="1"/>
        <v>611079.89999999991</v>
      </c>
      <c r="I20" s="72">
        <f t="shared" si="2"/>
        <v>66487.399999999994</v>
      </c>
      <c r="J20" s="51">
        <f t="shared" si="3"/>
        <v>701916.49999999988</v>
      </c>
      <c r="K20" s="77">
        <f t="shared" si="4"/>
        <v>1684.8570461566526</v>
      </c>
      <c r="AC20" s="94" t="s">
        <v>622</v>
      </c>
    </row>
    <row r="21" spans="1:29" ht="15" customHeight="1" x14ac:dyDescent="0.25">
      <c r="A21" s="74" t="str">
        <f>Unidades!A14</f>
        <v>A-012</v>
      </c>
      <c r="B21" s="75" t="str">
        <f>Unidades!B14</f>
        <v>T1</v>
      </c>
      <c r="C21" s="75" t="str">
        <f>Unidades!C14</f>
        <v>Fase 4</v>
      </c>
      <c r="D21" s="76">
        <f>Unidades!H14</f>
        <v>321.62099999999998</v>
      </c>
      <c r="E21" s="76">
        <f>Unidades!I14</f>
        <v>94.981999999999999</v>
      </c>
      <c r="F21" s="50">
        <v>832.55</v>
      </c>
      <c r="G21" s="72">
        <f t="shared" si="0"/>
        <v>24976.5</v>
      </c>
      <c r="H21" s="72">
        <f t="shared" si="1"/>
        <v>611079.89999999991</v>
      </c>
      <c r="I21" s="72">
        <f t="shared" si="2"/>
        <v>66487.399999999994</v>
      </c>
      <c r="J21" s="51">
        <f t="shared" si="3"/>
        <v>702543.79999999993</v>
      </c>
      <c r="K21" s="77">
        <f t="shared" si="4"/>
        <v>1686.3627962352648</v>
      </c>
      <c r="AC21" s="94" t="s">
        <v>616</v>
      </c>
    </row>
    <row r="22" spans="1:29" ht="15" customHeight="1" x14ac:dyDescent="0.25">
      <c r="A22" s="74" t="str">
        <f>Unidades!A15</f>
        <v>A-013</v>
      </c>
      <c r="B22" s="75" t="str">
        <f>Unidades!B15</f>
        <v>T1</v>
      </c>
      <c r="C22" s="75" t="str">
        <f>Unidades!C15</f>
        <v>Fase 4</v>
      </c>
      <c r="D22" s="76">
        <f>Unidades!H15</f>
        <v>321.62099999999998</v>
      </c>
      <c r="E22" s="76">
        <f>Unidades!I15</f>
        <v>94.981999999999999</v>
      </c>
      <c r="F22" s="50">
        <v>840.4</v>
      </c>
      <c r="G22" s="72">
        <f t="shared" si="0"/>
        <v>25212</v>
      </c>
      <c r="H22" s="72">
        <f t="shared" si="1"/>
        <v>611079.89999999991</v>
      </c>
      <c r="I22" s="72">
        <f t="shared" si="2"/>
        <v>66487.399999999994</v>
      </c>
      <c r="J22" s="51">
        <f t="shared" si="3"/>
        <v>702779.29999999993</v>
      </c>
      <c r="K22" s="77">
        <f t="shared" si="4"/>
        <v>1686.928082611023</v>
      </c>
      <c r="AC22" s="94" t="s">
        <v>627</v>
      </c>
    </row>
    <row r="23" spans="1:29" ht="15" customHeight="1" x14ac:dyDescent="0.25">
      <c r="A23" s="74" t="str">
        <f>Unidades!A16</f>
        <v>A-014</v>
      </c>
      <c r="B23" s="75" t="str">
        <f>Unidades!B16</f>
        <v>T1</v>
      </c>
      <c r="C23" s="75" t="str">
        <f>Unidades!C16</f>
        <v>Fase 4</v>
      </c>
      <c r="D23" s="76">
        <f>Unidades!H16</f>
        <v>321.62099999999998</v>
      </c>
      <c r="E23" s="76">
        <f>Unidades!I16</f>
        <v>94.981999999999999</v>
      </c>
      <c r="F23" s="50">
        <v>813.31</v>
      </c>
      <c r="G23" s="72">
        <f t="shared" si="0"/>
        <v>24399.3</v>
      </c>
      <c r="H23" s="72">
        <f t="shared" si="1"/>
        <v>611079.89999999991</v>
      </c>
      <c r="I23" s="72">
        <f t="shared" si="2"/>
        <v>66487.399999999994</v>
      </c>
      <c r="J23" s="51">
        <f t="shared" si="3"/>
        <v>701966.6</v>
      </c>
      <c r="K23" s="77">
        <f t="shared" si="4"/>
        <v>1684.9773045321326</v>
      </c>
      <c r="AC23" s="94" t="s">
        <v>616</v>
      </c>
    </row>
    <row r="24" spans="1:29" ht="15" customHeight="1" x14ac:dyDescent="0.25">
      <c r="A24" s="74" t="str">
        <f>Unidades!A17</f>
        <v>A-015</v>
      </c>
      <c r="B24" s="75" t="str">
        <f>Unidades!B17</f>
        <v>T1</v>
      </c>
      <c r="C24" s="75" t="str">
        <f>Unidades!C17</f>
        <v>Fase 4</v>
      </c>
      <c r="D24" s="76">
        <f>Unidades!H17</f>
        <v>321.62099999999998</v>
      </c>
      <c r="E24" s="76">
        <f>Unidades!I17</f>
        <v>94.981999999999999</v>
      </c>
      <c r="F24" s="50">
        <v>922.55</v>
      </c>
      <c r="G24" s="72">
        <f t="shared" si="0"/>
        <v>27676.5</v>
      </c>
      <c r="H24" s="72">
        <f t="shared" si="1"/>
        <v>611079.89999999991</v>
      </c>
      <c r="I24" s="72">
        <f t="shared" si="2"/>
        <v>66487.399999999994</v>
      </c>
      <c r="J24" s="51">
        <f t="shared" si="3"/>
        <v>705243.79999999993</v>
      </c>
      <c r="K24" s="77">
        <f t="shared" si="4"/>
        <v>1692.8437865305818</v>
      </c>
      <c r="AC24" s="94" t="s">
        <v>627</v>
      </c>
    </row>
    <row r="25" spans="1:29" ht="15" customHeight="1" x14ac:dyDescent="0.25">
      <c r="A25" s="74" t="str">
        <f>Unidades!A18</f>
        <v>A-016</v>
      </c>
      <c r="B25" s="75" t="str">
        <f>Unidades!B18</f>
        <v>T1</v>
      </c>
      <c r="C25" s="75" t="str">
        <f>Unidades!C18</f>
        <v>Fase 4</v>
      </c>
      <c r="D25" s="76">
        <f>Unidades!H18</f>
        <v>321.62099999999998</v>
      </c>
      <c r="E25" s="76">
        <f>Unidades!I18</f>
        <v>94.981999999999999</v>
      </c>
      <c r="F25" s="50">
        <v>848.54</v>
      </c>
      <c r="G25" s="72">
        <f t="shared" si="0"/>
        <v>25456.199999999997</v>
      </c>
      <c r="H25" s="72">
        <f t="shared" si="1"/>
        <v>611079.89999999991</v>
      </c>
      <c r="I25" s="72">
        <f t="shared" si="2"/>
        <v>66487.399999999994</v>
      </c>
      <c r="J25" s="51">
        <f t="shared" si="3"/>
        <v>703023.49999999988</v>
      </c>
      <c r="K25" s="77">
        <f t="shared" si="4"/>
        <v>1687.5142521777327</v>
      </c>
      <c r="AC25" s="94" t="s">
        <v>622</v>
      </c>
    </row>
    <row r="26" spans="1:29" ht="15" customHeight="1" x14ac:dyDescent="0.25">
      <c r="A26" s="74" t="str">
        <f>Unidades!A19</f>
        <v>A-017</v>
      </c>
      <c r="B26" s="75" t="str">
        <f>Unidades!B19</f>
        <v>T1</v>
      </c>
      <c r="C26" s="75" t="str">
        <f>Unidades!C19</f>
        <v>Fase 4</v>
      </c>
      <c r="D26" s="76">
        <f>Unidades!H19</f>
        <v>321.62099999999998</v>
      </c>
      <c r="E26" s="76">
        <f>Unidades!I19</f>
        <v>94.981999999999999</v>
      </c>
      <c r="F26" s="50">
        <v>762.77</v>
      </c>
      <c r="G26" s="72">
        <f t="shared" si="0"/>
        <v>22883.1</v>
      </c>
      <c r="H26" s="72">
        <f t="shared" si="1"/>
        <v>611079.89999999991</v>
      </c>
      <c r="I26" s="72">
        <f t="shared" si="2"/>
        <v>66487.399999999994</v>
      </c>
      <c r="J26" s="51">
        <f t="shared" si="3"/>
        <v>700450.39999999991</v>
      </c>
      <c r="K26" s="77">
        <f t="shared" si="4"/>
        <v>1681.3378684262955</v>
      </c>
      <c r="AC26" s="94" t="s">
        <v>622</v>
      </c>
    </row>
    <row r="27" spans="1:29" ht="15" customHeight="1" x14ac:dyDescent="0.25">
      <c r="A27" s="74" t="str">
        <f>Unidades!A20</f>
        <v>A-018</v>
      </c>
      <c r="B27" s="75" t="str">
        <f>Unidades!B20</f>
        <v>T1</v>
      </c>
      <c r="C27" s="75" t="str">
        <f>Unidades!C20</f>
        <v>Fase 4</v>
      </c>
      <c r="D27" s="76">
        <f>Unidades!H20</f>
        <v>321.62099999999998</v>
      </c>
      <c r="E27" s="76">
        <f>Unidades!I20</f>
        <v>94.981999999999999</v>
      </c>
      <c r="F27" s="50">
        <v>1006.2</v>
      </c>
      <c r="G27" s="72">
        <f t="shared" si="0"/>
        <v>30186</v>
      </c>
      <c r="H27" s="72">
        <f t="shared" si="1"/>
        <v>611079.89999999991</v>
      </c>
      <c r="I27" s="72">
        <f t="shared" si="2"/>
        <v>66487.399999999994</v>
      </c>
      <c r="J27" s="51">
        <f t="shared" si="3"/>
        <v>707753.29999999993</v>
      </c>
      <c r="K27" s="77">
        <f t="shared" si="4"/>
        <v>1698.8675069550627</v>
      </c>
      <c r="AC27" s="94" t="s">
        <v>622</v>
      </c>
    </row>
    <row r="28" spans="1:29" ht="15" customHeight="1" x14ac:dyDescent="0.25">
      <c r="A28" s="74" t="str">
        <f>Unidades!A21</f>
        <v>A-019</v>
      </c>
      <c r="B28" s="75" t="str">
        <f>Unidades!B21</f>
        <v>T1</v>
      </c>
      <c r="C28" s="75" t="str">
        <f>Unidades!C21</f>
        <v>Fase 4</v>
      </c>
      <c r="D28" s="76">
        <f>Unidades!H21</f>
        <v>321.62099999999998</v>
      </c>
      <c r="E28" s="76">
        <f>Unidades!I21</f>
        <v>94.981999999999999</v>
      </c>
      <c r="F28" s="50">
        <v>1225.01</v>
      </c>
      <c r="G28" s="72">
        <f t="shared" si="0"/>
        <v>36750.300000000003</v>
      </c>
      <c r="H28" s="72">
        <f t="shared" si="1"/>
        <v>611079.89999999991</v>
      </c>
      <c r="I28" s="72">
        <f t="shared" si="2"/>
        <v>66487.399999999994</v>
      </c>
      <c r="J28" s="51">
        <f t="shared" si="3"/>
        <v>714317.6</v>
      </c>
      <c r="K28" s="77">
        <f t="shared" si="4"/>
        <v>1714.6242345830444</v>
      </c>
      <c r="AC28" s="94" t="s">
        <v>622</v>
      </c>
    </row>
    <row r="29" spans="1:29" ht="15" customHeight="1" x14ac:dyDescent="0.25">
      <c r="A29" s="74" t="str">
        <f>Unidades!A22</f>
        <v>A-020</v>
      </c>
      <c r="B29" s="75" t="str">
        <f>Unidades!B22</f>
        <v>T1</v>
      </c>
      <c r="C29" s="75" t="str">
        <f>Unidades!C22</f>
        <v>Fase 4</v>
      </c>
      <c r="D29" s="76">
        <f>Unidades!H22</f>
        <v>321.62099999999998</v>
      </c>
      <c r="E29" s="76">
        <f>Unidades!I22</f>
        <v>94.981999999999999</v>
      </c>
      <c r="F29" s="50">
        <v>1068.3499999999999</v>
      </c>
      <c r="G29" s="72">
        <f t="shared" si="0"/>
        <v>32050.499999999996</v>
      </c>
      <c r="H29" s="72">
        <f t="shared" si="1"/>
        <v>611079.89999999991</v>
      </c>
      <c r="I29" s="72">
        <f t="shared" si="2"/>
        <v>66487.399999999994</v>
      </c>
      <c r="J29" s="51">
        <f t="shared" si="3"/>
        <v>709617.79999999993</v>
      </c>
      <c r="K29" s="77">
        <f t="shared" si="4"/>
        <v>1703.3429908089956</v>
      </c>
      <c r="AC29" s="94" t="s">
        <v>622</v>
      </c>
    </row>
    <row r="30" spans="1:29" ht="15" customHeight="1" x14ac:dyDescent="0.25">
      <c r="A30" s="74" t="str">
        <f>Unidades!A23</f>
        <v>A-021</v>
      </c>
      <c r="B30" s="75" t="str">
        <f>Unidades!B23</f>
        <v>T1</v>
      </c>
      <c r="C30" s="75" t="str">
        <f>Unidades!C23</f>
        <v>Fase 4</v>
      </c>
      <c r="D30" s="76">
        <f>Unidades!H23</f>
        <v>321.62099999999998</v>
      </c>
      <c r="E30" s="76">
        <f>Unidades!I23</f>
        <v>94.981999999999999</v>
      </c>
      <c r="F30" s="50">
        <v>771.66</v>
      </c>
      <c r="G30" s="72">
        <f t="shared" si="0"/>
        <v>23149.8</v>
      </c>
      <c r="H30" s="72">
        <f t="shared" si="1"/>
        <v>611079.89999999991</v>
      </c>
      <c r="I30" s="72">
        <f t="shared" si="2"/>
        <v>66487.399999999994</v>
      </c>
      <c r="J30" s="51">
        <f t="shared" si="3"/>
        <v>700717.1</v>
      </c>
      <c r="K30" s="77">
        <f t="shared" si="4"/>
        <v>1681.9780462454664</v>
      </c>
      <c r="AC30" s="94" t="s">
        <v>616</v>
      </c>
    </row>
    <row r="31" spans="1:29" ht="15" customHeight="1" x14ac:dyDescent="0.25">
      <c r="A31" s="74" t="str">
        <f>Unidades!A24</f>
        <v>A-022</v>
      </c>
      <c r="B31" s="75" t="str">
        <f>Unidades!B24</f>
        <v>T1</v>
      </c>
      <c r="C31" s="75" t="str">
        <f>Unidades!C24</f>
        <v>Fase 4</v>
      </c>
      <c r="D31" s="76">
        <f>Unidades!H24</f>
        <v>321.62099999999998</v>
      </c>
      <c r="E31" s="76">
        <f>Unidades!I24</f>
        <v>94.981999999999999</v>
      </c>
      <c r="F31" s="50">
        <v>880.1</v>
      </c>
      <c r="G31" s="72">
        <f t="shared" si="0"/>
        <v>26403</v>
      </c>
      <c r="H31" s="72">
        <f t="shared" si="1"/>
        <v>611079.89999999991</v>
      </c>
      <c r="I31" s="72">
        <f t="shared" si="2"/>
        <v>66487.399999999994</v>
      </c>
      <c r="J31" s="51">
        <f t="shared" si="3"/>
        <v>703970.29999999993</v>
      </c>
      <c r="K31" s="77">
        <f t="shared" si="4"/>
        <v>1689.7869194412906</v>
      </c>
      <c r="AC31" s="94" t="s">
        <v>627</v>
      </c>
    </row>
    <row r="32" spans="1:29" ht="15" customHeight="1" x14ac:dyDescent="0.25">
      <c r="A32" s="74" t="str">
        <f>Unidades!A25</f>
        <v>A-023</v>
      </c>
      <c r="B32" s="75" t="str">
        <f>Unidades!B25</f>
        <v>T1</v>
      </c>
      <c r="C32" s="75" t="str">
        <f>Unidades!C25</f>
        <v>Fase 4</v>
      </c>
      <c r="D32" s="76">
        <f>Unidades!H25</f>
        <v>321.62099999999998</v>
      </c>
      <c r="E32" s="76">
        <f>Unidades!I25</f>
        <v>94.981999999999999</v>
      </c>
      <c r="F32" s="50">
        <v>799.87</v>
      </c>
      <c r="G32" s="72">
        <f t="shared" si="0"/>
        <v>23996.1</v>
      </c>
      <c r="H32" s="72">
        <f t="shared" si="1"/>
        <v>611079.89999999991</v>
      </c>
      <c r="I32" s="72">
        <f t="shared" si="2"/>
        <v>66487.399999999994</v>
      </c>
      <c r="J32" s="51">
        <f t="shared" si="3"/>
        <v>701563.39999999991</v>
      </c>
      <c r="K32" s="77">
        <f t="shared" si="4"/>
        <v>1684.0094766480318</v>
      </c>
      <c r="AC32" s="94" t="s">
        <v>622</v>
      </c>
    </row>
    <row r="33" spans="1:29" ht="15" customHeight="1" x14ac:dyDescent="0.25">
      <c r="A33" s="74" t="str">
        <f>Unidades!A26</f>
        <v>A-024</v>
      </c>
      <c r="B33" s="75" t="str">
        <f>Unidades!B26</f>
        <v>T1</v>
      </c>
      <c r="C33" s="75" t="str">
        <f>Unidades!C26</f>
        <v>Fase 4</v>
      </c>
      <c r="D33" s="76">
        <f>Unidades!H26</f>
        <v>321.62099999999998</v>
      </c>
      <c r="E33" s="76">
        <f>Unidades!I26</f>
        <v>94.981999999999999</v>
      </c>
      <c r="F33" s="50">
        <v>768.76</v>
      </c>
      <c r="G33" s="72">
        <f t="shared" si="0"/>
        <v>23062.799999999999</v>
      </c>
      <c r="H33" s="72">
        <f t="shared" si="1"/>
        <v>611079.89999999991</v>
      </c>
      <c r="I33" s="72">
        <f t="shared" si="2"/>
        <v>66487.399999999994</v>
      </c>
      <c r="J33" s="51">
        <f t="shared" si="3"/>
        <v>700630.1</v>
      </c>
      <c r="K33" s="77">
        <f t="shared" si="4"/>
        <v>1681.7692143359507</v>
      </c>
      <c r="AC33" s="94" t="s">
        <v>622</v>
      </c>
    </row>
    <row r="34" spans="1:29" ht="15" customHeight="1" x14ac:dyDescent="0.25">
      <c r="A34" s="74" t="str">
        <f>Unidades!A27</f>
        <v>A-025</v>
      </c>
      <c r="B34" s="75" t="str">
        <f>Unidades!B27</f>
        <v>T1</v>
      </c>
      <c r="C34" s="75" t="str">
        <f>Unidades!C27</f>
        <v>Fase 4</v>
      </c>
      <c r="D34" s="76">
        <f>Unidades!H27</f>
        <v>321.62099999999998</v>
      </c>
      <c r="E34" s="76">
        <f>Unidades!I27</f>
        <v>94.981999999999999</v>
      </c>
      <c r="F34" s="50">
        <v>767.97</v>
      </c>
      <c r="G34" s="72">
        <f t="shared" si="0"/>
        <v>23039.100000000002</v>
      </c>
      <c r="H34" s="72">
        <f t="shared" si="1"/>
        <v>611079.89999999991</v>
      </c>
      <c r="I34" s="72">
        <f t="shared" si="2"/>
        <v>66487.399999999994</v>
      </c>
      <c r="J34" s="51">
        <f t="shared" si="3"/>
        <v>700606.39999999991</v>
      </c>
      <c r="K34" s="77">
        <f t="shared" si="4"/>
        <v>1681.7123256433583</v>
      </c>
      <c r="AC34" s="94" t="s">
        <v>616</v>
      </c>
    </row>
    <row r="35" spans="1:29" ht="15" customHeight="1" x14ac:dyDescent="0.25">
      <c r="A35" s="74" t="str">
        <f>Unidades!A28</f>
        <v>A-026</v>
      </c>
      <c r="B35" s="75" t="str">
        <f>Unidades!B28</f>
        <v>T1</v>
      </c>
      <c r="C35" s="75" t="str">
        <f>Unidades!C28</f>
        <v>Fase 4</v>
      </c>
      <c r="D35" s="76">
        <f>Unidades!H28</f>
        <v>321.62099999999998</v>
      </c>
      <c r="E35" s="76">
        <f>Unidades!I28</f>
        <v>94.981999999999999</v>
      </c>
      <c r="F35" s="50">
        <v>767.97</v>
      </c>
      <c r="G35" s="72">
        <f t="shared" si="0"/>
        <v>23039.100000000002</v>
      </c>
      <c r="H35" s="72">
        <f t="shared" si="1"/>
        <v>611079.89999999991</v>
      </c>
      <c r="I35" s="72">
        <f t="shared" si="2"/>
        <v>66487.399999999994</v>
      </c>
      <c r="J35" s="51">
        <f t="shared" si="3"/>
        <v>700606.39999999991</v>
      </c>
      <c r="K35" s="77">
        <f t="shared" si="4"/>
        <v>1681.7123256433583</v>
      </c>
      <c r="AC35" s="94" t="s">
        <v>627</v>
      </c>
    </row>
    <row r="36" spans="1:29" ht="15" customHeight="1" x14ac:dyDescent="0.25">
      <c r="A36" s="74" t="str">
        <f>Unidades!A29</f>
        <v>A-027</v>
      </c>
      <c r="B36" s="75" t="str">
        <f>Unidades!B29</f>
        <v>T1</v>
      </c>
      <c r="C36" s="75" t="str">
        <f>Unidades!C29</f>
        <v>Fase 4</v>
      </c>
      <c r="D36" s="76">
        <f>Unidades!H29</f>
        <v>321.62099999999998</v>
      </c>
      <c r="E36" s="76">
        <f>Unidades!I29</f>
        <v>94.981999999999999</v>
      </c>
      <c r="F36" s="50">
        <v>767.97</v>
      </c>
      <c r="G36" s="72">
        <f t="shared" si="0"/>
        <v>23039.100000000002</v>
      </c>
      <c r="H36" s="72">
        <f t="shared" si="1"/>
        <v>611079.89999999991</v>
      </c>
      <c r="I36" s="72">
        <f t="shared" si="2"/>
        <v>66487.399999999994</v>
      </c>
      <c r="J36" s="51">
        <f t="shared" si="3"/>
        <v>700606.39999999991</v>
      </c>
      <c r="K36" s="77">
        <f t="shared" si="4"/>
        <v>1681.7123256433583</v>
      </c>
      <c r="AC36" s="94" t="s">
        <v>622</v>
      </c>
    </row>
    <row r="37" spans="1:29" ht="15" customHeight="1" x14ac:dyDescent="0.25">
      <c r="A37" s="74" t="str">
        <f>Unidades!A30</f>
        <v>A-028</v>
      </c>
      <c r="B37" s="75" t="str">
        <f>Unidades!B30</f>
        <v>T1</v>
      </c>
      <c r="C37" s="75" t="str">
        <f>Unidades!C30</f>
        <v>Fase 4</v>
      </c>
      <c r="D37" s="76">
        <f>Unidades!H30</f>
        <v>321.62099999999998</v>
      </c>
      <c r="E37" s="76">
        <f>Unidades!I30</f>
        <v>94.981999999999999</v>
      </c>
      <c r="F37" s="50">
        <v>806.91</v>
      </c>
      <c r="G37" s="72">
        <f t="shared" si="0"/>
        <v>24207.3</v>
      </c>
      <c r="H37" s="72">
        <f t="shared" si="1"/>
        <v>611079.89999999991</v>
      </c>
      <c r="I37" s="72">
        <f t="shared" si="2"/>
        <v>66487.399999999994</v>
      </c>
      <c r="J37" s="51">
        <f t="shared" si="3"/>
        <v>701774.6</v>
      </c>
      <c r="K37" s="77">
        <f t="shared" si="4"/>
        <v>1684.5164341111324</v>
      </c>
      <c r="AC37" s="94" t="s">
        <v>616</v>
      </c>
    </row>
    <row r="38" spans="1:29" ht="15" customHeight="1" x14ac:dyDescent="0.25">
      <c r="A38" s="74" t="str">
        <f>Unidades!A31</f>
        <v>A-029</v>
      </c>
      <c r="B38" s="75" t="str">
        <f>Unidades!B31</f>
        <v>T1</v>
      </c>
      <c r="C38" s="75" t="str">
        <f>Unidades!C31</f>
        <v>Fase 4</v>
      </c>
      <c r="D38" s="76">
        <f>Unidades!H31</f>
        <v>321.62099999999998</v>
      </c>
      <c r="E38" s="76">
        <f>Unidades!I31</f>
        <v>94.981999999999999</v>
      </c>
      <c r="F38" s="50">
        <v>813.54</v>
      </c>
      <c r="G38" s="72">
        <f t="shared" si="0"/>
        <v>24406.199999999997</v>
      </c>
      <c r="H38" s="72">
        <f t="shared" si="1"/>
        <v>611079.89999999991</v>
      </c>
      <c r="I38" s="72">
        <f t="shared" si="2"/>
        <v>66487.399999999994</v>
      </c>
      <c r="J38" s="51">
        <f t="shared" si="3"/>
        <v>701973.49999999988</v>
      </c>
      <c r="K38" s="77">
        <f t="shared" si="4"/>
        <v>1684.9938670628871</v>
      </c>
      <c r="AC38" s="94" t="s">
        <v>622</v>
      </c>
    </row>
    <row r="39" spans="1:29" ht="15" customHeight="1" x14ac:dyDescent="0.25">
      <c r="A39" s="74" t="str">
        <f>Unidades!A32</f>
        <v>A-030</v>
      </c>
      <c r="B39" s="75" t="str">
        <f>Unidades!B32</f>
        <v>T1</v>
      </c>
      <c r="C39" s="75" t="str">
        <f>Unidades!C32</f>
        <v>Fase 4</v>
      </c>
      <c r="D39" s="76">
        <f>Unidades!H32</f>
        <v>321.62099999999998</v>
      </c>
      <c r="E39" s="76">
        <f>Unidades!I32</f>
        <v>94.981999999999999</v>
      </c>
      <c r="F39" s="50">
        <v>769.34</v>
      </c>
      <c r="G39" s="72">
        <f t="shared" si="0"/>
        <v>23080.2</v>
      </c>
      <c r="H39" s="72">
        <f t="shared" si="1"/>
        <v>611079.89999999991</v>
      </c>
      <c r="I39" s="72">
        <f t="shared" si="2"/>
        <v>66487.399999999994</v>
      </c>
      <c r="J39" s="51">
        <f t="shared" si="3"/>
        <v>700647.49999999988</v>
      </c>
      <c r="K39" s="77">
        <f t="shared" si="4"/>
        <v>1681.8109807178537</v>
      </c>
      <c r="AC39" s="94" t="s">
        <v>627</v>
      </c>
    </row>
    <row r="40" spans="1:29" ht="15" customHeight="1" x14ac:dyDescent="0.25">
      <c r="A40" s="74" t="str">
        <f>Unidades!A33</f>
        <v>A-031</v>
      </c>
      <c r="B40" s="75" t="str">
        <f>Unidades!B33</f>
        <v>T1</v>
      </c>
      <c r="C40" s="75" t="str">
        <f>Unidades!C33</f>
        <v>Fase 4</v>
      </c>
      <c r="D40" s="76">
        <f>Unidades!H33</f>
        <v>321.62099999999998</v>
      </c>
      <c r="E40" s="76">
        <f>Unidades!I33</f>
        <v>94.981999999999999</v>
      </c>
      <c r="F40" s="50">
        <v>733.29</v>
      </c>
      <c r="G40" s="72">
        <f t="shared" si="0"/>
        <v>21998.699999999997</v>
      </c>
      <c r="H40" s="72">
        <f t="shared" si="1"/>
        <v>611079.89999999991</v>
      </c>
      <c r="I40" s="72">
        <f t="shared" si="2"/>
        <v>66487.399999999994</v>
      </c>
      <c r="J40" s="51">
        <f t="shared" si="3"/>
        <v>699565.99999999988</v>
      </c>
      <c r="K40" s="77">
        <f t="shared" si="4"/>
        <v>1679.2149840495626</v>
      </c>
      <c r="AC40" s="94" t="s">
        <v>616</v>
      </c>
    </row>
    <row r="41" spans="1:29" ht="15" customHeight="1" x14ac:dyDescent="0.25">
      <c r="A41" s="74" t="str">
        <f>Unidades!A34</f>
        <v>A-032</v>
      </c>
      <c r="B41" s="75" t="str">
        <f>Unidades!B34</f>
        <v>T1</v>
      </c>
      <c r="C41" s="75" t="str">
        <f>Unidades!C34</f>
        <v>Fase 4</v>
      </c>
      <c r="D41" s="76">
        <f>Unidades!H34</f>
        <v>321.62099999999998</v>
      </c>
      <c r="E41" s="76">
        <f>Unidades!I34</f>
        <v>94.981999999999999</v>
      </c>
      <c r="F41" s="50">
        <v>1014.84</v>
      </c>
      <c r="G41" s="72">
        <f t="shared" si="0"/>
        <v>30445.200000000001</v>
      </c>
      <c r="H41" s="72">
        <f t="shared" si="1"/>
        <v>611079.89999999991</v>
      </c>
      <c r="I41" s="72">
        <f t="shared" si="2"/>
        <v>66487.399999999994</v>
      </c>
      <c r="J41" s="51">
        <f t="shared" si="3"/>
        <v>708012.49999999988</v>
      </c>
      <c r="K41" s="77">
        <f t="shared" si="4"/>
        <v>1699.489682023413</v>
      </c>
      <c r="AC41" s="94" t="s">
        <v>622</v>
      </c>
    </row>
    <row r="42" spans="1:29" ht="15" customHeight="1" x14ac:dyDescent="0.25">
      <c r="A42" s="74" t="str">
        <f>Unidades!A35</f>
        <v>B-001</v>
      </c>
      <c r="B42" s="75" t="str">
        <f>Unidades!B35</f>
        <v>T2</v>
      </c>
      <c r="C42" s="75" t="str">
        <f>Unidades!C35</f>
        <v>Fase 4</v>
      </c>
      <c r="D42" s="76">
        <f>Unidades!H35</f>
        <v>179.17400000000001</v>
      </c>
      <c r="E42" s="76">
        <f>Unidades!I35</f>
        <v>89</v>
      </c>
      <c r="F42" s="50">
        <v>928.76</v>
      </c>
      <c r="G42" s="72">
        <f t="shared" si="0"/>
        <v>27862.799999999999</v>
      </c>
      <c r="H42" s="72">
        <f t="shared" si="1"/>
        <v>340430.60000000003</v>
      </c>
      <c r="I42" s="72">
        <f t="shared" si="2"/>
        <v>62300</v>
      </c>
      <c r="J42" s="51">
        <f t="shared" si="3"/>
        <v>430593.4</v>
      </c>
      <c r="K42" s="77">
        <f t="shared" si="4"/>
        <v>1605.6493172343332</v>
      </c>
      <c r="AC42" s="94" t="s">
        <v>622</v>
      </c>
    </row>
    <row r="43" spans="1:29" ht="15" customHeight="1" x14ac:dyDescent="0.25">
      <c r="A43" s="74" t="str">
        <f>Unidades!A36</f>
        <v>B-002</v>
      </c>
      <c r="B43" s="75" t="str">
        <f>Unidades!B36</f>
        <v>T2</v>
      </c>
      <c r="C43" s="75" t="str">
        <f>Unidades!C36</f>
        <v>Fase 4</v>
      </c>
      <c r="D43" s="76">
        <f>Unidades!H36</f>
        <v>179.17400000000001</v>
      </c>
      <c r="E43" s="76">
        <f>Unidades!I36</f>
        <v>89</v>
      </c>
      <c r="F43" s="50">
        <v>822.83</v>
      </c>
      <c r="G43" s="72">
        <f t="shared" si="0"/>
        <v>24684.9</v>
      </c>
      <c r="H43" s="72">
        <f t="shared" si="1"/>
        <v>340430.60000000003</v>
      </c>
      <c r="I43" s="72">
        <f t="shared" si="2"/>
        <v>62300</v>
      </c>
      <c r="J43" s="51">
        <f t="shared" si="3"/>
        <v>427415.50000000006</v>
      </c>
      <c r="K43" s="77">
        <f t="shared" si="4"/>
        <v>1593.7991751623949</v>
      </c>
      <c r="AC43" s="94" t="s">
        <v>622</v>
      </c>
    </row>
    <row r="44" spans="1:29" ht="15" customHeight="1" x14ac:dyDescent="0.25">
      <c r="A44" s="74" t="str">
        <f>Unidades!A37</f>
        <v>B-003</v>
      </c>
      <c r="B44" s="75" t="str">
        <f>Unidades!B37</f>
        <v>T2</v>
      </c>
      <c r="C44" s="75" t="str">
        <f>Unidades!C37</f>
        <v>Fase 4</v>
      </c>
      <c r="D44" s="76">
        <f>Unidades!H37</f>
        <v>179.17400000000001</v>
      </c>
      <c r="E44" s="76">
        <f>Unidades!I37</f>
        <v>89</v>
      </c>
      <c r="F44" s="50">
        <v>795.65</v>
      </c>
      <c r="G44" s="72">
        <f t="shared" si="0"/>
        <v>23869.5</v>
      </c>
      <c r="H44" s="72">
        <f t="shared" si="1"/>
        <v>340430.60000000003</v>
      </c>
      <c r="I44" s="72">
        <f t="shared" si="2"/>
        <v>62300</v>
      </c>
      <c r="J44" s="51">
        <f t="shared" si="3"/>
        <v>426600.10000000003</v>
      </c>
      <c r="K44" s="77">
        <f t="shared" si="4"/>
        <v>1590.7586119459756</v>
      </c>
      <c r="AC44" s="94" t="s">
        <v>622</v>
      </c>
    </row>
    <row r="45" spans="1:29" ht="15" customHeight="1" x14ac:dyDescent="0.25">
      <c r="A45" s="74" t="str">
        <f>Unidades!A38</f>
        <v>B-004</v>
      </c>
      <c r="B45" s="75" t="str">
        <f>Unidades!B38</f>
        <v>T2</v>
      </c>
      <c r="C45" s="75" t="str">
        <f>Unidades!C38</f>
        <v>Fase 4</v>
      </c>
      <c r="D45" s="76">
        <f>Unidades!H38</f>
        <v>179.17400000000001</v>
      </c>
      <c r="E45" s="76">
        <f>Unidades!I38</f>
        <v>89</v>
      </c>
      <c r="F45" s="50">
        <v>747.22</v>
      </c>
      <c r="G45" s="72">
        <f t="shared" si="0"/>
        <v>22416.600000000002</v>
      </c>
      <c r="H45" s="72">
        <f t="shared" si="1"/>
        <v>340430.60000000003</v>
      </c>
      <c r="I45" s="72">
        <f t="shared" si="2"/>
        <v>62300</v>
      </c>
      <c r="J45" s="51">
        <f t="shared" si="3"/>
        <v>425147.2</v>
      </c>
      <c r="K45" s="77">
        <f t="shared" si="4"/>
        <v>1585.3408607844162</v>
      </c>
      <c r="AC45" s="94" t="s">
        <v>616</v>
      </c>
    </row>
    <row r="46" spans="1:29" ht="15" customHeight="1" x14ac:dyDescent="0.25">
      <c r="A46" s="74" t="str">
        <f>Unidades!A39</f>
        <v>B-005</v>
      </c>
      <c r="B46" s="75" t="str">
        <f>Unidades!B39</f>
        <v>T2</v>
      </c>
      <c r="C46" s="75" t="str">
        <f>Unidades!C39</f>
        <v>Fase 4</v>
      </c>
      <c r="D46" s="76">
        <f>Unidades!H39</f>
        <v>179.17400000000001</v>
      </c>
      <c r="E46" s="76">
        <f>Unidades!I39</f>
        <v>89</v>
      </c>
      <c r="F46" s="50">
        <v>1127.3900000000001</v>
      </c>
      <c r="G46" s="72">
        <f t="shared" si="0"/>
        <v>33821.700000000004</v>
      </c>
      <c r="H46" s="72">
        <f t="shared" si="1"/>
        <v>340430.60000000003</v>
      </c>
      <c r="I46" s="72">
        <f t="shared" si="2"/>
        <v>62300</v>
      </c>
      <c r="J46" s="51">
        <f t="shared" si="3"/>
        <v>436552.30000000005</v>
      </c>
      <c r="K46" s="77">
        <f t="shared" si="4"/>
        <v>1627.8695921304827</v>
      </c>
      <c r="AC46" s="94" t="s">
        <v>622</v>
      </c>
    </row>
    <row r="47" spans="1:29" ht="15" customHeight="1" x14ac:dyDescent="0.25">
      <c r="A47" s="74" t="str">
        <f>Unidades!A40</f>
        <v>B-006</v>
      </c>
      <c r="B47" s="75" t="str">
        <f>Unidades!B40</f>
        <v>T2</v>
      </c>
      <c r="C47" s="75" t="str">
        <f>Unidades!C40</f>
        <v>Fase 4</v>
      </c>
      <c r="D47" s="76">
        <f>Unidades!H40</f>
        <v>179.17400000000001</v>
      </c>
      <c r="E47" s="76">
        <f>Unidades!I40</f>
        <v>89</v>
      </c>
      <c r="F47" s="50">
        <v>773.59</v>
      </c>
      <c r="G47" s="72">
        <f t="shared" si="0"/>
        <v>23207.7</v>
      </c>
      <c r="H47" s="72">
        <f t="shared" si="1"/>
        <v>340430.60000000003</v>
      </c>
      <c r="I47" s="72">
        <f t="shared" si="2"/>
        <v>62300</v>
      </c>
      <c r="J47" s="51">
        <f t="shared" si="3"/>
        <v>425938.30000000005</v>
      </c>
      <c r="K47" s="77">
        <f t="shared" si="4"/>
        <v>1588.2908111897502</v>
      </c>
      <c r="AC47" s="94" t="s">
        <v>616</v>
      </c>
    </row>
    <row r="48" spans="1:29" ht="15" customHeight="1" x14ac:dyDescent="0.25">
      <c r="A48" s="74" t="str">
        <f>Unidades!A41</f>
        <v>B-007</v>
      </c>
      <c r="B48" s="75" t="str">
        <f>Unidades!B41</f>
        <v>T2</v>
      </c>
      <c r="C48" s="75" t="str">
        <f>Unidades!C41</f>
        <v>Fase 4</v>
      </c>
      <c r="D48" s="76">
        <f>Unidades!H41</f>
        <v>179.17400000000001</v>
      </c>
      <c r="E48" s="76">
        <f>Unidades!I41</f>
        <v>89</v>
      </c>
      <c r="F48" s="50">
        <v>754.14</v>
      </c>
      <c r="G48" s="72">
        <f t="shared" si="0"/>
        <v>22624.2</v>
      </c>
      <c r="H48" s="72">
        <f t="shared" si="1"/>
        <v>340430.60000000003</v>
      </c>
      <c r="I48" s="72">
        <f t="shared" si="2"/>
        <v>62300</v>
      </c>
      <c r="J48" s="51">
        <f t="shared" si="3"/>
        <v>425354.80000000005</v>
      </c>
      <c r="K48" s="77">
        <f t="shared" si="4"/>
        <v>1586.1149850470219</v>
      </c>
      <c r="AC48" s="94" t="s">
        <v>616</v>
      </c>
    </row>
    <row r="49" spans="1:29" ht="15" customHeight="1" x14ac:dyDescent="0.25">
      <c r="A49" s="74" t="str">
        <f>Unidades!A42</f>
        <v>B-008</v>
      </c>
      <c r="B49" s="75" t="str">
        <f>Unidades!B42</f>
        <v>T2</v>
      </c>
      <c r="C49" s="75" t="str">
        <f>Unidades!C42</f>
        <v>Fase 4</v>
      </c>
      <c r="D49" s="76">
        <f>Unidades!H42</f>
        <v>179.17400000000001</v>
      </c>
      <c r="E49" s="76">
        <f>Unidades!I42</f>
        <v>89</v>
      </c>
      <c r="F49" s="50">
        <v>754.14</v>
      </c>
      <c r="G49" s="72">
        <f t="shared" si="0"/>
        <v>22624.2</v>
      </c>
      <c r="H49" s="72">
        <f t="shared" si="1"/>
        <v>340430.60000000003</v>
      </c>
      <c r="I49" s="72">
        <f t="shared" si="2"/>
        <v>62300</v>
      </c>
      <c r="J49" s="51">
        <f t="shared" si="3"/>
        <v>425354.80000000005</v>
      </c>
      <c r="K49" s="77">
        <f t="shared" si="4"/>
        <v>1586.1149850470219</v>
      </c>
      <c r="AC49" s="94" t="s">
        <v>616</v>
      </c>
    </row>
    <row r="50" spans="1:29" ht="15" customHeight="1" x14ac:dyDescent="0.25">
      <c r="A50" s="74" t="str">
        <f>Unidades!A43</f>
        <v>B-009</v>
      </c>
      <c r="B50" s="75" t="str">
        <f>Unidades!B43</f>
        <v>T2</v>
      </c>
      <c r="C50" s="75" t="str">
        <f>Unidades!C43</f>
        <v>Fase 4</v>
      </c>
      <c r="D50" s="76">
        <f>Unidades!H43</f>
        <v>179.17400000000001</v>
      </c>
      <c r="E50" s="76">
        <f>Unidades!I43</f>
        <v>89</v>
      </c>
      <c r="F50" s="50">
        <v>754.33</v>
      </c>
      <c r="G50" s="72">
        <f t="shared" si="0"/>
        <v>22629.9</v>
      </c>
      <c r="H50" s="72">
        <f t="shared" si="1"/>
        <v>340430.60000000003</v>
      </c>
      <c r="I50" s="72">
        <f t="shared" si="2"/>
        <v>62300</v>
      </c>
      <c r="J50" s="51">
        <f t="shared" si="3"/>
        <v>425360.50000000006</v>
      </c>
      <c r="K50" s="77">
        <f t="shared" si="4"/>
        <v>1586.1362399039433</v>
      </c>
      <c r="AC50" s="94" t="s">
        <v>627</v>
      </c>
    </row>
    <row r="51" spans="1:29" ht="15" customHeight="1" x14ac:dyDescent="0.25">
      <c r="A51" s="74" t="str">
        <f>Unidades!A44</f>
        <v>B-010</v>
      </c>
      <c r="B51" s="75" t="str">
        <f>Unidades!B44</f>
        <v>T2</v>
      </c>
      <c r="C51" s="75" t="str">
        <f>Unidades!C44</f>
        <v>Fase 4</v>
      </c>
      <c r="D51" s="76">
        <f>Unidades!H44</f>
        <v>179.17400000000001</v>
      </c>
      <c r="E51" s="76">
        <f>Unidades!I44</f>
        <v>89</v>
      </c>
      <c r="F51" s="50">
        <v>729.71</v>
      </c>
      <c r="G51" s="72">
        <f t="shared" si="0"/>
        <v>21891.300000000003</v>
      </c>
      <c r="H51" s="72">
        <f t="shared" si="1"/>
        <v>340430.60000000003</v>
      </c>
      <c r="I51" s="72">
        <f t="shared" si="2"/>
        <v>62300</v>
      </c>
      <c r="J51" s="51">
        <f t="shared" si="3"/>
        <v>424621.9</v>
      </c>
      <c r="K51" s="77">
        <f t="shared" si="4"/>
        <v>1583.3820579176208</v>
      </c>
      <c r="AC51" s="94" t="s">
        <v>616</v>
      </c>
    </row>
    <row r="52" spans="1:29" ht="15" customHeight="1" x14ac:dyDescent="0.25">
      <c r="A52" s="74" t="str">
        <f>Unidades!A45</f>
        <v>B-011</v>
      </c>
      <c r="B52" s="75" t="str">
        <f>Unidades!B45</f>
        <v>T2</v>
      </c>
      <c r="C52" s="75" t="str">
        <f>Unidades!C45</f>
        <v>Fase 4</v>
      </c>
      <c r="D52" s="76">
        <f>Unidades!H45</f>
        <v>179.17400000000001</v>
      </c>
      <c r="E52" s="76">
        <f>Unidades!I45</f>
        <v>89</v>
      </c>
      <c r="F52" s="50">
        <v>1046.69</v>
      </c>
      <c r="G52" s="72">
        <f t="shared" si="0"/>
        <v>31400.7</v>
      </c>
      <c r="H52" s="72">
        <f t="shared" si="1"/>
        <v>340430.60000000003</v>
      </c>
      <c r="I52" s="72">
        <f t="shared" si="2"/>
        <v>62300</v>
      </c>
      <c r="J52" s="51">
        <f t="shared" si="3"/>
        <v>434131.30000000005</v>
      </c>
      <c r="K52" s="77">
        <f t="shared" si="4"/>
        <v>1618.8418713223507</v>
      </c>
      <c r="AC52" s="94" t="s">
        <v>616</v>
      </c>
    </row>
    <row r="53" spans="1:29" ht="15" customHeight="1" x14ac:dyDescent="0.25">
      <c r="A53" s="74" t="str">
        <f>Unidades!A46</f>
        <v>B-012</v>
      </c>
      <c r="B53" s="75" t="str">
        <f>Unidades!B46</f>
        <v>T2</v>
      </c>
      <c r="C53" s="75" t="str">
        <f>Unidades!C46</f>
        <v>Fase 4</v>
      </c>
      <c r="D53" s="76">
        <f>Unidades!H46</f>
        <v>179.17400000000001</v>
      </c>
      <c r="E53" s="76">
        <f>Unidades!I46</f>
        <v>89</v>
      </c>
      <c r="F53" s="50">
        <v>756.16</v>
      </c>
      <c r="G53" s="72">
        <f t="shared" si="0"/>
        <v>22684.799999999999</v>
      </c>
      <c r="H53" s="72">
        <f t="shared" si="1"/>
        <v>340430.60000000003</v>
      </c>
      <c r="I53" s="72">
        <f t="shared" si="2"/>
        <v>62300</v>
      </c>
      <c r="J53" s="51">
        <f t="shared" si="3"/>
        <v>425415.4</v>
      </c>
      <c r="K53" s="77">
        <f t="shared" si="4"/>
        <v>1586.3409577363952</v>
      </c>
      <c r="AC53" s="94" t="s">
        <v>627</v>
      </c>
    </row>
    <row r="54" spans="1:29" ht="15" customHeight="1" x14ac:dyDescent="0.25">
      <c r="A54" s="74" t="str">
        <f>Unidades!A47</f>
        <v>B-013</v>
      </c>
      <c r="B54" s="75" t="str">
        <f>Unidades!B47</f>
        <v>T2</v>
      </c>
      <c r="C54" s="75" t="str">
        <f>Unidades!C47</f>
        <v>Fase 4</v>
      </c>
      <c r="D54" s="76">
        <f>Unidades!H47</f>
        <v>179.17400000000001</v>
      </c>
      <c r="E54" s="76">
        <f>Unidades!I47</f>
        <v>89</v>
      </c>
      <c r="F54" s="50">
        <v>789.57</v>
      </c>
      <c r="G54" s="72">
        <f t="shared" si="0"/>
        <v>23687.100000000002</v>
      </c>
      <c r="H54" s="72">
        <f t="shared" si="1"/>
        <v>340430.60000000003</v>
      </c>
      <c r="I54" s="72">
        <f t="shared" si="2"/>
        <v>62300</v>
      </c>
      <c r="J54" s="51">
        <f t="shared" si="3"/>
        <v>426417.7</v>
      </c>
      <c r="K54" s="77">
        <f t="shared" si="4"/>
        <v>1590.0784565244956</v>
      </c>
      <c r="AC54" s="94" t="s">
        <v>616</v>
      </c>
    </row>
    <row r="55" spans="1:29" ht="15" customHeight="1" x14ac:dyDescent="0.25">
      <c r="A55" s="74" t="str">
        <f>Unidades!A48</f>
        <v>B-014</v>
      </c>
      <c r="B55" s="75" t="str">
        <f>Unidades!B48</f>
        <v>T2</v>
      </c>
      <c r="C55" s="75" t="str">
        <f>Unidades!C48</f>
        <v>Fase 4</v>
      </c>
      <c r="D55" s="76">
        <f>Unidades!H48</f>
        <v>179.17400000000001</v>
      </c>
      <c r="E55" s="76">
        <f>Unidades!I48</f>
        <v>89</v>
      </c>
      <c r="F55" s="50">
        <v>754.99</v>
      </c>
      <c r="G55" s="72">
        <f t="shared" si="0"/>
        <v>22649.7</v>
      </c>
      <c r="H55" s="72">
        <f t="shared" si="1"/>
        <v>340430.60000000003</v>
      </c>
      <c r="I55" s="72">
        <f t="shared" si="2"/>
        <v>62300</v>
      </c>
      <c r="J55" s="51">
        <f t="shared" si="3"/>
        <v>425380.30000000005</v>
      </c>
      <c r="K55" s="77">
        <f t="shared" si="4"/>
        <v>1586.2100725648277</v>
      </c>
      <c r="AC55" s="94" t="s">
        <v>627</v>
      </c>
    </row>
    <row r="56" spans="1:29" ht="15" customHeight="1" x14ac:dyDescent="0.25">
      <c r="A56" s="74" t="str">
        <f>Unidades!A49</f>
        <v>C-001</v>
      </c>
      <c r="B56" s="75" t="str">
        <f>Unidades!B49</f>
        <v>T3</v>
      </c>
      <c r="C56" s="75" t="str">
        <f>Unidades!C49</f>
        <v>Fase 4</v>
      </c>
      <c r="D56" s="76">
        <f>Unidades!H49</f>
        <v>154.38800000000001</v>
      </c>
      <c r="E56" s="76">
        <f>Unidades!I49</f>
        <v>48</v>
      </c>
      <c r="F56" s="50">
        <v>1404.01</v>
      </c>
      <c r="G56" s="72">
        <f t="shared" si="0"/>
        <v>42120.3</v>
      </c>
      <c r="H56" s="72">
        <f t="shared" si="1"/>
        <v>293337.2</v>
      </c>
      <c r="I56" s="72">
        <f t="shared" si="2"/>
        <v>33600</v>
      </c>
      <c r="J56" s="51">
        <f t="shared" si="3"/>
        <v>369057.5</v>
      </c>
      <c r="K56" s="77">
        <f t="shared" si="4"/>
        <v>1823.5147340751428</v>
      </c>
      <c r="AC56" s="94" t="s">
        <v>622</v>
      </c>
    </row>
    <row r="57" spans="1:29" ht="15" customHeight="1" x14ac:dyDescent="0.25">
      <c r="A57" s="74" t="str">
        <f>Unidades!A50</f>
        <v>C-002</v>
      </c>
      <c r="B57" s="75" t="str">
        <f>Unidades!B50</f>
        <v>T3</v>
      </c>
      <c r="C57" s="75" t="str">
        <f>Unidades!C50</f>
        <v>Fase 4</v>
      </c>
      <c r="D57" s="76">
        <f>Unidades!H50</f>
        <v>154.38800000000001</v>
      </c>
      <c r="E57" s="76">
        <f>Unidades!I50</f>
        <v>48</v>
      </c>
      <c r="F57" s="50">
        <v>1054.49</v>
      </c>
      <c r="G57" s="72">
        <f t="shared" si="0"/>
        <v>31634.7</v>
      </c>
      <c r="H57" s="72">
        <f t="shared" si="1"/>
        <v>293337.2</v>
      </c>
      <c r="I57" s="72">
        <f t="shared" si="2"/>
        <v>33600</v>
      </c>
      <c r="J57" s="51">
        <f t="shared" si="3"/>
        <v>358571.9</v>
      </c>
      <c r="K57" s="77">
        <f t="shared" si="4"/>
        <v>1771.7053382611618</v>
      </c>
      <c r="AC57" s="94" t="s">
        <v>616</v>
      </c>
    </row>
    <row r="58" spans="1:29" ht="15" customHeight="1" x14ac:dyDescent="0.25">
      <c r="A58" s="74" t="str">
        <f>Unidades!A51</f>
        <v>C-003</v>
      </c>
      <c r="B58" s="75" t="str">
        <f>Unidades!B51</f>
        <v>T3</v>
      </c>
      <c r="C58" s="75" t="str">
        <f>Unidades!C51</f>
        <v>Fase 4</v>
      </c>
      <c r="D58" s="76">
        <f>Unidades!H51</f>
        <v>154.38800000000001</v>
      </c>
      <c r="E58" s="76">
        <f>Unidades!I51</f>
        <v>48</v>
      </c>
      <c r="F58" s="50">
        <v>852.04</v>
      </c>
      <c r="G58" s="72">
        <f t="shared" si="0"/>
        <v>25561.199999999997</v>
      </c>
      <c r="H58" s="72">
        <f t="shared" si="1"/>
        <v>293337.2</v>
      </c>
      <c r="I58" s="72">
        <f t="shared" si="2"/>
        <v>33600</v>
      </c>
      <c r="J58" s="51">
        <f t="shared" si="3"/>
        <v>352498.4</v>
      </c>
      <c r="K58" s="77">
        <f t="shared" si="4"/>
        <v>1741.6961479929641</v>
      </c>
      <c r="AC58" s="94" t="s">
        <v>622</v>
      </c>
    </row>
    <row r="59" spans="1:29" ht="15" customHeight="1" x14ac:dyDescent="0.25">
      <c r="A59" s="74" t="str">
        <f>Unidades!A52</f>
        <v>C-004</v>
      </c>
      <c r="B59" s="75" t="str">
        <f>Unidades!B52</f>
        <v>T3</v>
      </c>
      <c r="C59" s="75" t="str">
        <f>Unidades!C52</f>
        <v>Fase 4</v>
      </c>
      <c r="D59" s="76">
        <f>Unidades!H52</f>
        <v>154.38800000000001</v>
      </c>
      <c r="E59" s="76">
        <f>Unidades!I52</f>
        <v>48</v>
      </c>
      <c r="F59" s="50">
        <v>947.6</v>
      </c>
      <c r="G59" s="72">
        <f t="shared" si="0"/>
        <v>28428</v>
      </c>
      <c r="H59" s="72">
        <f t="shared" si="1"/>
        <v>293337.2</v>
      </c>
      <c r="I59" s="72">
        <f t="shared" si="2"/>
        <v>33600</v>
      </c>
      <c r="J59" s="51">
        <f t="shared" si="3"/>
        <v>355365.2</v>
      </c>
      <c r="K59" s="77">
        <f t="shared" si="4"/>
        <v>1755.8610194280293</v>
      </c>
      <c r="AC59" s="94" t="s">
        <v>622</v>
      </c>
    </row>
    <row r="60" spans="1:29" ht="15" customHeight="1" x14ac:dyDescent="0.25">
      <c r="A60" s="74" t="str">
        <f>Unidades!A53</f>
        <v>C-005</v>
      </c>
      <c r="B60" s="75" t="str">
        <f>Unidades!B53</f>
        <v>T3</v>
      </c>
      <c r="C60" s="75" t="str">
        <f>Unidades!C53</f>
        <v>Fase 4</v>
      </c>
      <c r="D60" s="76">
        <f>Unidades!H53</f>
        <v>154.38800000000001</v>
      </c>
      <c r="E60" s="76">
        <f>Unidades!I53</f>
        <v>48</v>
      </c>
      <c r="F60" s="50">
        <v>753</v>
      </c>
      <c r="G60" s="72">
        <f t="shared" si="0"/>
        <v>22590</v>
      </c>
      <c r="H60" s="72">
        <f t="shared" si="1"/>
        <v>293337.2</v>
      </c>
      <c r="I60" s="72">
        <f t="shared" si="2"/>
        <v>33600</v>
      </c>
      <c r="J60" s="51">
        <f t="shared" si="3"/>
        <v>349527.2</v>
      </c>
      <c r="K60" s="77">
        <f t="shared" si="4"/>
        <v>1727.0154356977687</v>
      </c>
      <c r="AC60" s="94" t="s">
        <v>627</v>
      </c>
    </row>
    <row r="61" spans="1:29" ht="15" customHeight="1" x14ac:dyDescent="0.25">
      <c r="A61" s="74" t="str">
        <f>Unidades!A54</f>
        <v>C-006</v>
      </c>
      <c r="B61" s="75" t="str">
        <f>Unidades!B54</f>
        <v>T3</v>
      </c>
      <c r="C61" s="75" t="str">
        <f>Unidades!C54</f>
        <v>Fase 4</v>
      </c>
      <c r="D61" s="76">
        <f>Unidades!H54</f>
        <v>154.38800000000001</v>
      </c>
      <c r="E61" s="76">
        <f>Unidades!I54</f>
        <v>48</v>
      </c>
      <c r="F61" s="50">
        <v>759.1</v>
      </c>
      <c r="G61" s="72">
        <f t="shared" si="0"/>
        <v>22773</v>
      </c>
      <c r="H61" s="72">
        <f t="shared" si="1"/>
        <v>293337.2</v>
      </c>
      <c r="I61" s="72">
        <f t="shared" si="2"/>
        <v>33600</v>
      </c>
      <c r="J61" s="51">
        <f t="shared" si="3"/>
        <v>349710.2</v>
      </c>
      <c r="K61" s="77">
        <f t="shared" si="4"/>
        <v>1727.9196395043184</v>
      </c>
      <c r="AC61" s="94" t="s">
        <v>616</v>
      </c>
    </row>
    <row r="62" spans="1:29" ht="15" customHeight="1" x14ac:dyDescent="0.25">
      <c r="A62" s="74" t="str">
        <f>Unidades!A55</f>
        <v>C-007</v>
      </c>
      <c r="B62" s="75" t="str">
        <f>Unidades!B55</f>
        <v>T3</v>
      </c>
      <c r="C62" s="75" t="str">
        <f>Unidades!C55</f>
        <v>Fase 4</v>
      </c>
      <c r="D62" s="76">
        <f>Unidades!H55</f>
        <v>154.38800000000001</v>
      </c>
      <c r="E62" s="76">
        <f>Unidades!I55</f>
        <v>48</v>
      </c>
      <c r="F62" s="50">
        <v>708.38</v>
      </c>
      <c r="G62" s="72">
        <f t="shared" si="0"/>
        <v>21251.4</v>
      </c>
      <c r="H62" s="72">
        <f t="shared" si="1"/>
        <v>293337.2</v>
      </c>
      <c r="I62" s="72">
        <f t="shared" si="2"/>
        <v>33600</v>
      </c>
      <c r="J62" s="51">
        <f t="shared" si="3"/>
        <v>348188.60000000003</v>
      </c>
      <c r="K62" s="77">
        <f t="shared" si="4"/>
        <v>1720.4014071980553</v>
      </c>
      <c r="AC62" s="94" t="s">
        <v>627</v>
      </c>
    </row>
    <row r="63" spans="1:29" ht="15" customHeight="1" x14ac:dyDescent="0.25">
      <c r="A63" s="74" t="str">
        <f>Unidades!A56</f>
        <v>C-008</v>
      </c>
      <c r="B63" s="75" t="str">
        <f>Unidades!B56</f>
        <v>T3</v>
      </c>
      <c r="C63" s="75" t="str">
        <f>Unidades!C56</f>
        <v>Fase 4</v>
      </c>
      <c r="D63" s="76">
        <f>Unidades!H56</f>
        <v>154.38800000000001</v>
      </c>
      <c r="E63" s="76">
        <f>Unidades!I56</f>
        <v>48</v>
      </c>
      <c r="F63" s="50">
        <v>1060.3499999999999</v>
      </c>
      <c r="G63" s="72">
        <f t="shared" si="0"/>
        <v>31810.499999999996</v>
      </c>
      <c r="H63" s="72">
        <f t="shared" si="1"/>
        <v>293337.2</v>
      </c>
      <c r="I63" s="72">
        <f t="shared" si="2"/>
        <v>33600</v>
      </c>
      <c r="J63" s="51">
        <f t="shared" si="3"/>
        <v>358747.7</v>
      </c>
      <c r="K63" s="77">
        <f t="shared" si="4"/>
        <v>1772.5739668359784</v>
      </c>
      <c r="AC63" s="94" t="s">
        <v>622</v>
      </c>
    </row>
    <row r="64" spans="1:29" ht="15" customHeight="1" x14ac:dyDescent="0.25">
      <c r="A64" s="74" t="str">
        <f>Unidades!A57</f>
        <v>C-009</v>
      </c>
      <c r="B64" s="75" t="str">
        <f>Unidades!B57</f>
        <v>T3</v>
      </c>
      <c r="C64" s="75" t="str">
        <f>Unidades!C57</f>
        <v>Fase 4</v>
      </c>
      <c r="D64" s="76">
        <f>Unidades!H57</f>
        <v>154.38800000000001</v>
      </c>
      <c r="E64" s="76">
        <f>Unidades!I57</f>
        <v>48</v>
      </c>
      <c r="F64" s="50">
        <v>997</v>
      </c>
      <c r="G64" s="72">
        <f t="shared" si="0"/>
        <v>29910</v>
      </c>
      <c r="H64" s="72">
        <f t="shared" si="1"/>
        <v>293337.2</v>
      </c>
      <c r="I64" s="72">
        <f t="shared" si="2"/>
        <v>33600</v>
      </c>
      <c r="J64" s="51">
        <f t="shared" si="3"/>
        <v>356847.2</v>
      </c>
      <c r="K64" s="77">
        <f t="shared" si="4"/>
        <v>1763.1835879597604</v>
      </c>
      <c r="AC64" s="94" t="s">
        <v>622</v>
      </c>
    </row>
    <row r="65" spans="1:29" ht="15" customHeight="1" x14ac:dyDescent="0.25">
      <c r="A65" s="74" t="str">
        <f>Unidades!A58</f>
        <v>C-010</v>
      </c>
      <c r="B65" s="75" t="str">
        <f>Unidades!B58</f>
        <v>T3</v>
      </c>
      <c r="C65" s="75" t="str">
        <f>Unidades!C58</f>
        <v>Fase 4</v>
      </c>
      <c r="D65" s="76">
        <f>Unidades!H58</f>
        <v>154.38800000000001</v>
      </c>
      <c r="E65" s="76">
        <f>Unidades!I58</f>
        <v>48</v>
      </c>
      <c r="F65" s="50">
        <v>1002.34</v>
      </c>
      <c r="G65" s="72">
        <f t="shared" si="0"/>
        <v>30070.2</v>
      </c>
      <c r="H65" s="72">
        <f t="shared" si="1"/>
        <v>293337.2</v>
      </c>
      <c r="I65" s="72">
        <f t="shared" si="2"/>
        <v>33600</v>
      </c>
      <c r="J65" s="51">
        <f t="shared" si="3"/>
        <v>357007.4</v>
      </c>
      <c r="K65" s="77">
        <f t="shared" si="4"/>
        <v>1763.9751368658222</v>
      </c>
      <c r="AC65" s="94" t="s">
        <v>627</v>
      </c>
    </row>
    <row r="66" spans="1:29" ht="15" customHeight="1" x14ac:dyDescent="0.25">
      <c r="A66" s="74" t="str">
        <f>Unidades!A59</f>
        <v>C-011</v>
      </c>
      <c r="B66" s="75" t="str">
        <f>Unidades!B59</f>
        <v>T3</v>
      </c>
      <c r="C66" s="75" t="str">
        <f>Unidades!C59</f>
        <v>Fase 4</v>
      </c>
      <c r="D66" s="76">
        <f>Unidades!H59</f>
        <v>154.38800000000001</v>
      </c>
      <c r="E66" s="76">
        <f>Unidades!I59</f>
        <v>48</v>
      </c>
      <c r="F66" s="50">
        <v>1043.9000000000001</v>
      </c>
      <c r="G66" s="72">
        <f t="shared" si="0"/>
        <v>31317.000000000004</v>
      </c>
      <c r="H66" s="72">
        <f t="shared" si="1"/>
        <v>293337.2</v>
      </c>
      <c r="I66" s="72">
        <f t="shared" si="2"/>
        <v>33600</v>
      </c>
      <c r="J66" s="51">
        <f t="shared" si="3"/>
        <v>358254.2</v>
      </c>
      <c r="K66" s="77">
        <f t="shared" si="4"/>
        <v>1770.1355811609385</v>
      </c>
      <c r="AC66" s="94" t="s">
        <v>622</v>
      </c>
    </row>
    <row r="67" spans="1:29" ht="15" customHeight="1" x14ac:dyDescent="0.25">
      <c r="A67" s="74" t="str">
        <f>Unidades!A60</f>
        <v>C-012</v>
      </c>
      <c r="B67" s="75" t="str">
        <f>Unidades!B60</f>
        <v>T3</v>
      </c>
      <c r="C67" s="75" t="str">
        <f>Unidades!C60</f>
        <v>Fase 4</v>
      </c>
      <c r="D67" s="76">
        <f>Unidades!H60</f>
        <v>154.38800000000001</v>
      </c>
      <c r="E67" s="76">
        <f>Unidades!I60</f>
        <v>48</v>
      </c>
      <c r="F67" s="50">
        <v>1385.69</v>
      </c>
      <c r="G67" s="72">
        <f t="shared" si="0"/>
        <v>41570.700000000004</v>
      </c>
      <c r="H67" s="72">
        <f t="shared" si="1"/>
        <v>293337.2</v>
      </c>
      <c r="I67" s="72">
        <f t="shared" si="2"/>
        <v>33600</v>
      </c>
      <c r="J67" s="51">
        <f t="shared" si="3"/>
        <v>368507.9</v>
      </c>
      <c r="K67" s="77">
        <f t="shared" si="4"/>
        <v>1820.799158052849</v>
      </c>
      <c r="AC67" s="94" t="s">
        <v>627</v>
      </c>
    </row>
    <row r="68" spans="1:29" ht="15" customHeight="1" x14ac:dyDescent="0.25">
      <c r="A68" s="74" t="str">
        <f>Unidades!A61</f>
        <v>C-013</v>
      </c>
      <c r="B68" s="75" t="str">
        <f>Unidades!B61</f>
        <v>T3</v>
      </c>
      <c r="C68" s="75" t="str">
        <f>Unidades!C61</f>
        <v>Fase 4</v>
      </c>
      <c r="D68" s="76">
        <f>Unidades!H61</f>
        <v>154.38800000000001</v>
      </c>
      <c r="E68" s="76">
        <f>Unidades!I61</f>
        <v>48</v>
      </c>
      <c r="F68" s="50">
        <v>903.09</v>
      </c>
      <c r="G68" s="72">
        <f t="shared" si="0"/>
        <v>27092.7</v>
      </c>
      <c r="H68" s="72">
        <f t="shared" si="1"/>
        <v>293337.2</v>
      </c>
      <c r="I68" s="72">
        <f t="shared" si="2"/>
        <v>33600</v>
      </c>
      <c r="J68" s="51">
        <f t="shared" si="3"/>
        <v>354029.9</v>
      </c>
      <c r="K68" s="77">
        <f t="shared" si="4"/>
        <v>1749.2632962428604</v>
      </c>
      <c r="AC68" s="94" t="s">
        <v>622</v>
      </c>
    </row>
    <row r="69" spans="1:29" ht="15" customHeight="1" x14ac:dyDescent="0.25">
      <c r="A69" s="74" t="str">
        <f>Unidades!A62</f>
        <v>C-014</v>
      </c>
      <c r="B69" s="75" t="str">
        <f>Unidades!B62</f>
        <v>T3</v>
      </c>
      <c r="C69" s="75" t="str">
        <f>Unidades!C62</f>
        <v>Fase 4</v>
      </c>
      <c r="D69" s="76">
        <f>Unidades!H62</f>
        <v>154.38800000000001</v>
      </c>
      <c r="E69" s="76">
        <f>Unidades!I62</f>
        <v>48</v>
      </c>
      <c r="F69" s="50">
        <v>847.42</v>
      </c>
      <c r="G69" s="72">
        <f t="shared" si="0"/>
        <v>25422.6</v>
      </c>
      <c r="H69" s="72">
        <f t="shared" si="1"/>
        <v>293337.2</v>
      </c>
      <c r="I69" s="72">
        <f t="shared" si="2"/>
        <v>33600</v>
      </c>
      <c r="J69" s="51">
        <f t="shared" si="3"/>
        <v>352359.8</v>
      </c>
      <c r="K69" s="77">
        <f t="shared" si="4"/>
        <v>1741.0113247821016</v>
      </c>
      <c r="AC69" s="94" t="s">
        <v>616</v>
      </c>
    </row>
    <row r="70" spans="1:29" ht="15" customHeight="1" x14ac:dyDescent="0.25">
      <c r="A70" s="74" t="str">
        <f>Unidades!A63</f>
        <v>C-015</v>
      </c>
      <c r="B70" s="75" t="str">
        <f>Unidades!B63</f>
        <v>T3</v>
      </c>
      <c r="C70" s="75" t="str">
        <f>Unidades!C63</f>
        <v>Fase 4</v>
      </c>
      <c r="D70" s="76">
        <f>Unidades!H63</f>
        <v>154.38800000000001</v>
      </c>
      <c r="E70" s="76">
        <f>Unidades!I63</f>
        <v>48</v>
      </c>
      <c r="F70" s="50">
        <v>756.37</v>
      </c>
      <c r="G70" s="72">
        <f t="shared" si="0"/>
        <v>22691.1</v>
      </c>
      <c r="H70" s="72">
        <f t="shared" si="1"/>
        <v>293337.2</v>
      </c>
      <c r="I70" s="72">
        <f t="shared" si="2"/>
        <v>33600</v>
      </c>
      <c r="J70" s="51">
        <f t="shared" si="3"/>
        <v>349628.3</v>
      </c>
      <c r="K70" s="77">
        <f t="shared" si="4"/>
        <v>1727.5149712433542</v>
      </c>
      <c r="AC70" s="94" t="s">
        <v>622</v>
      </c>
    </row>
    <row r="71" spans="1:29" ht="15" customHeight="1" x14ac:dyDescent="0.25">
      <c r="A71" s="74" t="str">
        <f>Unidades!A64</f>
        <v>C-016</v>
      </c>
      <c r="B71" s="75" t="str">
        <f>Unidades!B64</f>
        <v>T3</v>
      </c>
      <c r="C71" s="75" t="str">
        <f>Unidades!C64</f>
        <v>Fase 4</v>
      </c>
      <c r="D71" s="76">
        <f>Unidades!H64</f>
        <v>154.38800000000001</v>
      </c>
      <c r="E71" s="76">
        <f>Unidades!I64</f>
        <v>48</v>
      </c>
      <c r="F71" s="50">
        <v>861.39</v>
      </c>
      <c r="G71" s="72">
        <f t="shared" si="0"/>
        <v>25841.7</v>
      </c>
      <c r="H71" s="72">
        <f t="shared" si="1"/>
        <v>293337.2</v>
      </c>
      <c r="I71" s="72">
        <f t="shared" si="2"/>
        <v>33600</v>
      </c>
      <c r="J71" s="51">
        <f t="shared" si="3"/>
        <v>352778.9</v>
      </c>
      <c r="K71" s="77">
        <f t="shared" si="4"/>
        <v>1743.0820997292331</v>
      </c>
      <c r="AC71" s="94" t="s">
        <v>616</v>
      </c>
    </row>
    <row r="72" spans="1:29" ht="15" customHeight="1" x14ac:dyDescent="0.25">
      <c r="A72" s="74" t="str">
        <f>Unidades!A65</f>
        <v>C-017</v>
      </c>
      <c r="B72" s="75" t="str">
        <f>Unidades!B65</f>
        <v>T3</v>
      </c>
      <c r="C72" s="75" t="str">
        <f>Unidades!C65</f>
        <v>Fase 4</v>
      </c>
      <c r="D72" s="76">
        <f>Unidades!H65</f>
        <v>154.38800000000001</v>
      </c>
      <c r="E72" s="76">
        <f>Unidades!I65</f>
        <v>48</v>
      </c>
      <c r="F72" s="50">
        <v>773.75</v>
      </c>
      <c r="G72" s="72">
        <f t="shared" si="0"/>
        <v>23212.5</v>
      </c>
      <c r="H72" s="72">
        <f t="shared" si="1"/>
        <v>293337.2</v>
      </c>
      <c r="I72" s="72">
        <f t="shared" si="2"/>
        <v>33600</v>
      </c>
      <c r="J72" s="51">
        <f t="shared" si="3"/>
        <v>350149.7</v>
      </c>
      <c r="K72" s="77">
        <f t="shared" si="4"/>
        <v>1730.0912109413603</v>
      </c>
      <c r="AC72" s="94" t="s">
        <v>622</v>
      </c>
    </row>
    <row r="73" spans="1:29" ht="15" customHeight="1" x14ac:dyDescent="0.25">
      <c r="A73" s="74" t="str">
        <f>Unidades!A66</f>
        <v>C-018</v>
      </c>
      <c r="B73" s="75" t="str">
        <f>Unidades!B66</f>
        <v>T3</v>
      </c>
      <c r="C73" s="75" t="str">
        <f>Unidades!C66</f>
        <v>Fase 4</v>
      </c>
      <c r="D73" s="76">
        <f>Unidades!H66</f>
        <v>154.38800000000001</v>
      </c>
      <c r="E73" s="76">
        <f>Unidades!I66</f>
        <v>48</v>
      </c>
      <c r="F73" s="50">
        <v>932.54</v>
      </c>
      <c r="G73" s="72">
        <f t="shared" si="0"/>
        <v>27976.199999999997</v>
      </c>
      <c r="H73" s="72">
        <f t="shared" si="1"/>
        <v>293337.2</v>
      </c>
      <c r="I73" s="72">
        <f t="shared" si="2"/>
        <v>33600</v>
      </c>
      <c r="J73" s="51">
        <f t="shared" si="3"/>
        <v>354913.4</v>
      </c>
      <c r="K73" s="77">
        <f t="shared" si="4"/>
        <v>1753.628673636777</v>
      </c>
      <c r="AC73" s="94" t="s">
        <v>622</v>
      </c>
    </row>
    <row r="74" spans="1:29" ht="15" customHeight="1" x14ac:dyDescent="0.25">
      <c r="A74" s="74" t="str">
        <f>Unidades!A67</f>
        <v>C-019</v>
      </c>
      <c r="B74" s="75" t="str">
        <f>Unidades!B67</f>
        <v>T3</v>
      </c>
      <c r="C74" s="75" t="str">
        <f>Unidades!C67</f>
        <v>Fase 4</v>
      </c>
      <c r="D74" s="76">
        <f>Unidades!H67</f>
        <v>154.38800000000001</v>
      </c>
      <c r="E74" s="76">
        <f>Unidades!I67</f>
        <v>48</v>
      </c>
      <c r="F74" s="50">
        <v>1002.2</v>
      </c>
      <c r="G74" s="72">
        <f t="shared" ref="G74:G137" si="5">F74*$B$5</f>
        <v>30066</v>
      </c>
      <c r="H74" s="72">
        <f t="shared" ref="H74:H137" si="6">D74*$B$6</f>
        <v>293337.2</v>
      </c>
      <c r="I74" s="72">
        <f t="shared" ref="I74:I137" si="7">E74*$B$7</f>
        <v>33600</v>
      </c>
      <c r="J74" s="51">
        <f t="shared" ref="J74:J137" si="8">G74+H74+I74</f>
        <v>357003.2</v>
      </c>
      <c r="K74" s="77">
        <f t="shared" ref="K74:K137" si="9">IFERROR(J74/(D74+E74),"")</f>
        <v>1763.9543846473111</v>
      </c>
      <c r="AC74" s="94" t="s">
        <v>622</v>
      </c>
    </row>
    <row r="75" spans="1:29" ht="15" customHeight="1" x14ac:dyDescent="0.25">
      <c r="A75" s="74" t="str">
        <f>Unidades!A68</f>
        <v>C-020</v>
      </c>
      <c r="B75" s="75" t="str">
        <f>Unidades!B68</f>
        <v>T3</v>
      </c>
      <c r="C75" s="75" t="str">
        <f>Unidades!C68</f>
        <v>Fase 4</v>
      </c>
      <c r="D75" s="76">
        <f>Unidades!H68</f>
        <v>154.38800000000001</v>
      </c>
      <c r="E75" s="76">
        <f>Unidades!I68</f>
        <v>48</v>
      </c>
      <c r="F75" s="50">
        <v>1168.0999999999999</v>
      </c>
      <c r="G75" s="72">
        <f t="shared" si="5"/>
        <v>35043</v>
      </c>
      <c r="H75" s="72">
        <f t="shared" si="6"/>
        <v>293337.2</v>
      </c>
      <c r="I75" s="72">
        <f t="shared" si="7"/>
        <v>33600</v>
      </c>
      <c r="J75" s="51">
        <f t="shared" si="8"/>
        <v>361980.2</v>
      </c>
      <c r="K75" s="77">
        <f t="shared" si="9"/>
        <v>1788.5457635828211</v>
      </c>
      <c r="AC75" s="94" t="s">
        <v>622</v>
      </c>
    </row>
    <row r="76" spans="1:29" ht="15" customHeight="1" x14ac:dyDescent="0.25">
      <c r="A76" s="74" t="str">
        <f>Unidades!A69</f>
        <v>C-021</v>
      </c>
      <c r="B76" s="75" t="str">
        <f>Unidades!B69</f>
        <v>T3</v>
      </c>
      <c r="C76" s="75" t="str">
        <f>Unidades!C69</f>
        <v>Fase 4</v>
      </c>
      <c r="D76" s="76">
        <f>Unidades!H69</f>
        <v>154.38800000000001</v>
      </c>
      <c r="E76" s="76">
        <f>Unidades!I69</f>
        <v>48</v>
      </c>
      <c r="F76" s="50">
        <v>980.33</v>
      </c>
      <c r="G76" s="72">
        <f t="shared" si="5"/>
        <v>29409.9</v>
      </c>
      <c r="H76" s="72">
        <f t="shared" si="6"/>
        <v>293337.2</v>
      </c>
      <c r="I76" s="72">
        <f t="shared" si="7"/>
        <v>33600</v>
      </c>
      <c r="J76" s="51">
        <f t="shared" si="8"/>
        <v>356347.10000000003</v>
      </c>
      <c r="K76" s="77">
        <f t="shared" si="9"/>
        <v>1760.712591655632</v>
      </c>
      <c r="AC76" s="94" t="s">
        <v>622</v>
      </c>
    </row>
    <row r="77" spans="1:29" ht="15" customHeight="1" x14ac:dyDescent="0.25">
      <c r="A77" s="74" t="str">
        <f>Unidades!A70</f>
        <v>C-022</v>
      </c>
      <c r="B77" s="75" t="str">
        <f>Unidades!B70</f>
        <v>T3</v>
      </c>
      <c r="C77" s="75" t="str">
        <f>Unidades!C70</f>
        <v>Fase 4</v>
      </c>
      <c r="D77" s="76">
        <f>Unidades!H70</f>
        <v>154.38800000000001</v>
      </c>
      <c r="E77" s="76">
        <f>Unidades!I70</f>
        <v>48</v>
      </c>
      <c r="F77" s="50">
        <v>987.88</v>
      </c>
      <c r="G77" s="72">
        <f t="shared" si="5"/>
        <v>29636.400000000001</v>
      </c>
      <c r="H77" s="72">
        <f t="shared" si="6"/>
        <v>293337.2</v>
      </c>
      <c r="I77" s="72">
        <f t="shared" si="7"/>
        <v>33600</v>
      </c>
      <c r="J77" s="51">
        <f t="shared" si="8"/>
        <v>356573.60000000003</v>
      </c>
      <c r="K77" s="77">
        <f t="shared" si="9"/>
        <v>1761.8317291539026</v>
      </c>
      <c r="AC77" s="94" t="s">
        <v>622</v>
      </c>
    </row>
    <row r="78" spans="1:29" ht="15" customHeight="1" x14ac:dyDescent="0.25">
      <c r="A78" s="74" t="str">
        <f>Unidades!A71</f>
        <v>C-023</v>
      </c>
      <c r="B78" s="75" t="str">
        <f>Unidades!B71</f>
        <v>T3</v>
      </c>
      <c r="C78" s="75" t="str">
        <f>Unidades!C71</f>
        <v>Fase 4</v>
      </c>
      <c r="D78" s="76">
        <f>Unidades!H71</f>
        <v>154.38800000000001</v>
      </c>
      <c r="E78" s="76">
        <f>Unidades!I71</f>
        <v>48</v>
      </c>
      <c r="F78" s="50">
        <v>1029.56</v>
      </c>
      <c r="G78" s="72">
        <f t="shared" si="5"/>
        <v>30886.799999999999</v>
      </c>
      <c r="H78" s="72">
        <f t="shared" si="6"/>
        <v>293337.2</v>
      </c>
      <c r="I78" s="72">
        <f t="shared" si="7"/>
        <v>33600</v>
      </c>
      <c r="J78" s="51">
        <f t="shared" si="8"/>
        <v>357824</v>
      </c>
      <c r="K78" s="77">
        <f t="shared" si="9"/>
        <v>1768.0099610648851</v>
      </c>
      <c r="AC78" s="94" t="s">
        <v>627</v>
      </c>
    </row>
    <row r="79" spans="1:29" ht="15" customHeight="1" x14ac:dyDescent="0.25">
      <c r="A79" s="74" t="str">
        <f>Unidades!A72</f>
        <v>C-024</v>
      </c>
      <c r="B79" s="75" t="str">
        <f>Unidades!B72</f>
        <v>T3</v>
      </c>
      <c r="C79" s="75" t="str">
        <f>Unidades!C72</f>
        <v>Fase 4</v>
      </c>
      <c r="D79" s="76">
        <f>Unidades!H72</f>
        <v>154.38800000000001</v>
      </c>
      <c r="E79" s="76">
        <f>Unidades!I72</f>
        <v>48</v>
      </c>
      <c r="F79" s="50">
        <v>981.47</v>
      </c>
      <c r="G79" s="72">
        <f t="shared" si="5"/>
        <v>29444.100000000002</v>
      </c>
      <c r="H79" s="72">
        <f t="shared" si="6"/>
        <v>293337.2</v>
      </c>
      <c r="I79" s="72">
        <f t="shared" si="7"/>
        <v>33600</v>
      </c>
      <c r="J79" s="51">
        <f t="shared" si="8"/>
        <v>356381.3</v>
      </c>
      <c r="K79" s="77">
        <f t="shared" si="9"/>
        <v>1760.881574006364</v>
      </c>
      <c r="AC79" s="94" t="s">
        <v>616</v>
      </c>
    </row>
    <row r="80" spans="1:29" ht="15" customHeight="1" x14ac:dyDescent="0.25">
      <c r="A80" s="74" t="str">
        <f>Unidades!A73</f>
        <v>D-001</v>
      </c>
      <c r="B80" s="75" t="str">
        <f>Unidades!B73</f>
        <v>T4</v>
      </c>
      <c r="C80" s="75" t="str">
        <f>Unidades!C73</f>
        <v>Fase 3</v>
      </c>
      <c r="D80" s="76">
        <f>Unidades!H73</f>
        <v>94.789000000000001</v>
      </c>
      <c r="E80" s="76">
        <f>Unidades!I73</f>
        <v>83.65</v>
      </c>
      <c r="F80" s="50">
        <v>690.73</v>
      </c>
      <c r="G80" s="72">
        <f t="shared" si="5"/>
        <v>20721.900000000001</v>
      </c>
      <c r="H80" s="72">
        <f t="shared" si="6"/>
        <v>180099.1</v>
      </c>
      <c r="I80" s="72">
        <f t="shared" si="7"/>
        <v>58555.000000000007</v>
      </c>
      <c r="J80" s="51">
        <f t="shared" si="8"/>
        <v>259376</v>
      </c>
      <c r="K80" s="77">
        <f t="shared" si="9"/>
        <v>1453.583577581134</v>
      </c>
      <c r="AC80" s="94" t="s">
        <v>627</v>
      </c>
    </row>
    <row r="81" spans="1:29" ht="15" customHeight="1" x14ac:dyDescent="0.25">
      <c r="A81" s="74" t="str">
        <f>Unidades!A74</f>
        <v>D-002</v>
      </c>
      <c r="B81" s="75" t="str">
        <f>Unidades!B74</f>
        <v>T4</v>
      </c>
      <c r="C81" s="75" t="str">
        <f>Unidades!C74</f>
        <v>Fase 3</v>
      </c>
      <c r="D81" s="76">
        <f>Unidades!H74</f>
        <v>94.789000000000001</v>
      </c>
      <c r="E81" s="76">
        <f>Unidades!I74</f>
        <v>83.65</v>
      </c>
      <c r="F81" s="50">
        <v>653.71</v>
      </c>
      <c r="G81" s="72">
        <f t="shared" si="5"/>
        <v>19611.300000000003</v>
      </c>
      <c r="H81" s="72">
        <f t="shared" si="6"/>
        <v>180099.1</v>
      </c>
      <c r="I81" s="72">
        <f t="shared" si="7"/>
        <v>58555.000000000007</v>
      </c>
      <c r="J81" s="51">
        <f t="shared" si="8"/>
        <v>258265.40000000002</v>
      </c>
      <c r="K81" s="77">
        <f t="shared" si="9"/>
        <v>1447.3596018807548</v>
      </c>
      <c r="AC81" s="94" t="s">
        <v>627</v>
      </c>
    </row>
    <row r="82" spans="1:29" ht="15" customHeight="1" x14ac:dyDescent="0.25">
      <c r="A82" s="74" t="str">
        <f>Unidades!A75</f>
        <v>D-003</v>
      </c>
      <c r="B82" s="75" t="str">
        <f>Unidades!B75</f>
        <v>T4</v>
      </c>
      <c r="C82" s="75" t="str">
        <f>Unidades!C75</f>
        <v>Fase 3</v>
      </c>
      <c r="D82" s="76">
        <f>Unidades!H75</f>
        <v>94.789000000000001</v>
      </c>
      <c r="E82" s="76">
        <f>Unidades!I75</f>
        <v>83.65</v>
      </c>
      <c r="F82" s="50">
        <v>710.08</v>
      </c>
      <c r="G82" s="72">
        <f t="shared" si="5"/>
        <v>21302.400000000001</v>
      </c>
      <c r="H82" s="72">
        <f t="shared" si="6"/>
        <v>180099.1</v>
      </c>
      <c r="I82" s="72">
        <f t="shared" si="7"/>
        <v>58555.000000000007</v>
      </c>
      <c r="J82" s="51">
        <f t="shared" si="8"/>
        <v>259956.5</v>
      </c>
      <c r="K82" s="77">
        <f t="shared" si="9"/>
        <v>1456.8367901635852</v>
      </c>
      <c r="AC82" s="94" t="s">
        <v>627</v>
      </c>
    </row>
    <row r="83" spans="1:29" ht="15" customHeight="1" x14ac:dyDescent="0.25">
      <c r="A83" s="74" t="str">
        <f>Unidades!A76</f>
        <v>D-004</v>
      </c>
      <c r="B83" s="75" t="str">
        <f>Unidades!B76</f>
        <v>T4</v>
      </c>
      <c r="C83" s="75" t="str">
        <f>Unidades!C76</f>
        <v>Fase 3</v>
      </c>
      <c r="D83" s="76">
        <f>Unidades!H76</f>
        <v>94.789000000000001</v>
      </c>
      <c r="E83" s="76">
        <f>Unidades!I76</f>
        <v>83.65</v>
      </c>
      <c r="F83" s="50">
        <v>882.73</v>
      </c>
      <c r="G83" s="72">
        <f t="shared" si="5"/>
        <v>26481.9</v>
      </c>
      <c r="H83" s="72">
        <f t="shared" si="6"/>
        <v>180099.1</v>
      </c>
      <c r="I83" s="72">
        <f t="shared" si="7"/>
        <v>58555.000000000007</v>
      </c>
      <c r="J83" s="51">
        <f t="shared" si="8"/>
        <v>265136</v>
      </c>
      <c r="K83" s="77">
        <f t="shared" si="9"/>
        <v>1485.86351638375</v>
      </c>
      <c r="AC83" s="94" t="s">
        <v>616</v>
      </c>
    </row>
    <row r="84" spans="1:29" ht="15" customHeight="1" x14ac:dyDescent="0.25">
      <c r="A84" s="74" t="str">
        <f>Unidades!A77</f>
        <v>D-005</v>
      </c>
      <c r="B84" s="75" t="str">
        <f>Unidades!B77</f>
        <v>T4</v>
      </c>
      <c r="C84" s="75" t="str">
        <f>Unidades!C77</f>
        <v>Fase 3</v>
      </c>
      <c r="D84" s="76">
        <f>Unidades!H77</f>
        <v>94.789000000000001</v>
      </c>
      <c r="E84" s="76">
        <f>Unidades!I77</f>
        <v>83.65</v>
      </c>
      <c r="F84" s="50">
        <v>735.36</v>
      </c>
      <c r="G84" s="72">
        <f t="shared" si="5"/>
        <v>22060.799999999999</v>
      </c>
      <c r="H84" s="72">
        <f t="shared" si="6"/>
        <v>180099.1</v>
      </c>
      <c r="I84" s="72">
        <f t="shared" si="7"/>
        <v>58555.000000000007</v>
      </c>
      <c r="J84" s="51">
        <f t="shared" si="8"/>
        <v>260714.9</v>
      </c>
      <c r="K84" s="77">
        <f t="shared" si="9"/>
        <v>1461.0869821059296</v>
      </c>
      <c r="AC84" s="94" t="s">
        <v>627</v>
      </c>
    </row>
    <row r="85" spans="1:29" ht="15" customHeight="1" x14ac:dyDescent="0.25">
      <c r="A85" s="74" t="str">
        <f>Unidades!A78</f>
        <v>D-006</v>
      </c>
      <c r="B85" s="75" t="str">
        <f>Unidades!B78</f>
        <v>T4</v>
      </c>
      <c r="C85" s="75" t="str">
        <f>Unidades!C78</f>
        <v>Fase 3</v>
      </c>
      <c r="D85" s="76">
        <f>Unidades!H78</f>
        <v>94.789000000000001</v>
      </c>
      <c r="E85" s="76">
        <f>Unidades!I78</f>
        <v>83.65</v>
      </c>
      <c r="F85" s="50">
        <v>777.66</v>
      </c>
      <c r="G85" s="72">
        <f t="shared" si="5"/>
        <v>23329.8</v>
      </c>
      <c r="H85" s="72">
        <f t="shared" si="6"/>
        <v>180099.1</v>
      </c>
      <c r="I85" s="72">
        <f t="shared" si="7"/>
        <v>58555.000000000007</v>
      </c>
      <c r="J85" s="51">
        <f t="shared" si="8"/>
        <v>261983.9</v>
      </c>
      <c r="K85" s="77">
        <f t="shared" si="9"/>
        <v>1468.1986561233809</v>
      </c>
      <c r="AC85" s="94" t="s">
        <v>627</v>
      </c>
    </row>
    <row r="86" spans="1:29" ht="15" customHeight="1" x14ac:dyDescent="0.25">
      <c r="A86" s="74" t="str">
        <f>Unidades!A79</f>
        <v>D-007</v>
      </c>
      <c r="B86" s="75" t="str">
        <f>Unidades!B79</f>
        <v>T4</v>
      </c>
      <c r="C86" s="75" t="str">
        <f>Unidades!C79</f>
        <v>Fase 3</v>
      </c>
      <c r="D86" s="76">
        <f>Unidades!H79</f>
        <v>94.789000000000001</v>
      </c>
      <c r="E86" s="76">
        <f>Unidades!I79</f>
        <v>83.65</v>
      </c>
      <c r="F86" s="50">
        <v>800.65</v>
      </c>
      <c r="G86" s="72">
        <f t="shared" si="5"/>
        <v>24019.5</v>
      </c>
      <c r="H86" s="72">
        <f t="shared" si="6"/>
        <v>180099.1</v>
      </c>
      <c r="I86" s="72">
        <f t="shared" si="7"/>
        <v>58555.000000000007</v>
      </c>
      <c r="J86" s="51">
        <f t="shared" si="8"/>
        <v>262673.60000000003</v>
      </c>
      <c r="K86" s="77">
        <f t="shared" si="9"/>
        <v>1472.0638425456318</v>
      </c>
      <c r="AC86" s="94" t="s">
        <v>616</v>
      </c>
    </row>
    <row r="87" spans="1:29" ht="15" customHeight="1" x14ac:dyDescent="0.25">
      <c r="A87" s="74" t="str">
        <f>Unidades!A80</f>
        <v>D-008</v>
      </c>
      <c r="B87" s="75" t="str">
        <f>Unidades!B80</f>
        <v>T4</v>
      </c>
      <c r="C87" s="75" t="str">
        <f>Unidades!C80</f>
        <v>Fase 3</v>
      </c>
      <c r="D87" s="76">
        <f>Unidades!H80</f>
        <v>94.789000000000001</v>
      </c>
      <c r="E87" s="76">
        <f>Unidades!I80</f>
        <v>83.65</v>
      </c>
      <c r="F87" s="50">
        <v>815.15</v>
      </c>
      <c r="G87" s="72">
        <f t="shared" si="5"/>
        <v>24454.5</v>
      </c>
      <c r="H87" s="72">
        <f t="shared" si="6"/>
        <v>180099.1</v>
      </c>
      <c r="I87" s="72">
        <f t="shared" si="7"/>
        <v>58555.000000000007</v>
      </c>
      <c r="J87" s="51">
        <f t="shared" si="8"/>
        <v>263108.60000000003</v>
      </c>
      <c r="K87" s="77">
        <f t="shared" si="9"/>
        <v>1474.5016504239545</v>
      </c>
      <c r="AC87" s="94" t="s">
        <v>622</v>
      </c>
    </row>
    <row r="88" spans="1:29" ht="15" customHeight="1" x14ac:dyDescent="0.25">
      <c r="A88" s="74" t="str">
        <f>Unidades!A81</f>
        <v>D-009</v>
      </c>
      <c r="B88" s="75" t="str">
        <f>Unidades!B81</f>
        <v>T4</v>
      </c>
      <c r="C88" s="75" t="str">
        <f>Unidades!C81</f>
        <v>Fase 3</v>
      </c>
      <c r="D88" s="76">
        <f>Unidades!H81</f>
        <v>94.789000000000001</v>
      </c>
      <c r="E88" s="76">
        <f>Unidades!I81</f>
        <v>83.65</v>
      </c>
      <c r="F88" s="50">
        <v>843.39</v>
      </c>
      <c r="G88" s="72">
        <f t="shared" si="5"/>
        <v>25301.7</v>
      </c>
      <c r="H88" s="72">
        <f t="shared" si="6"/>
        <v>180099.1</v>
      </c>
      <c r="I88" s="72">
        <f t="shared" si="7"/>
        <v>58555.000000000007</v>
      </c>
      <c r="J88" s="51">
        <f t="shared" si="8"/>
        <v>263955.80000000005</v>
      </c>
      <c r="K88" s="77">
        <f t="shared" si="9"/>
        <v>1479.2494914228394</v>
      </c>
      <c r="AC88" s="94" t="s">
        <v>622</v>
      </c>
    </row>
    <row r="89" spans="1:29" ht="15" customHeight="1" x14ac:dyDescent="0.25">
      <c r="A89" s="74" t="str">
        <f>Unidades!A82</f>
        <v>D-010</v>
      </c>
      <c r="B89" s="75" t="str">
        <f>Unidades!B82</f>
        <v>T4</v>
      </c>
      <c r="C89" s="75" t="str">
        <f>Unidades!C82</f>
        <v>Fase 3</v>
      </c>
      <c r="D89" s="76">
        <f>Unidades!H82</f>
        <v>94.789000000000001</v>
      </c>
      <c r="E89" s="76">
        <f>Unidades!I82</f>
        <v>83.65</v>
      </c>
      <c r="F89" s="50">
        <v>700.62</v>
      </c>
      <c r="G89" s="72">
        <f t="shared" si="5"/>
        <v>21018.6</v>
      </c>
      <c r="H89" s="72">
        <f t="shared" si="6"/>
        <v>180099.1</v>
      </c>
      <c r="I89" s="72">
        <f t="shared" si="7"/>
        <v>58555.000000000007</v>
      </c>
      <c r="J89" s="51">
        <f t="shared" si="8"/>
        <v>259672.7</v>
      </c>
      <c r="K89" s="77">
        <f t="shared" si="9"/>
        <v>1455.2463306788313</v>
      </c>
      <c r="AC89" s="94" t="s">
        <v>622</v>
      </c>
    </row>
    <row r="90" spans="1:29" ht="15" customHeight="1" x14ac:dyDescent="0.25">
      <c r="A90" s="74" t="str">
        <f>Unidades!A83</f>
        <v>D-011</v>
      </c>
      <c r="B90" s="75" t="str">
        <f>Unidades!B83</f>
        <v>T4</v>
      </c>
      <c r="C90" s="75" t="str">
        <f>Unidades!C83</f>
        <v>Fase 3</v>
      </c>
      <c r="D90" s="76">
        <f>Unidades!H83</f>
        <v>94.789000000000001</v>
      </c>
      <c r="E90" s="76">
        <f>Unidades!I83</f>
        <v>83.65</v>
      </c>
      <c r="F90" s="50">
        <v>889.87</v>
      </c>
      <c r="G90" s="72">
        <f t="shared" si="5"/>
        <v>26696.1</v>
      </c>
      <c r="H90" s="72">
        <f t="shared" si="6"/>
        <v>180099.1</v>
      </c>
      <c r="I90" s="72">
        <f t="shared" si="7"/>
        <v>58555.000000000007</v>
      </c>
      <c r="J90" s="51">
        <f t="shared" si="8"/>
        <v>265350.2</v>
      </c>
      <c r="K90" s="77">
        <f t="shared" si="9"/>
        <v>1487.0639266079725</v>
      </c>
      <c r="AC90" s="94" t="s">
        <v>627</v>
      </c>
    </row>
    <row r="91" spans="1:29" ht="15" customHeight="1" x14ac:dyDescent="0.25">
      <c r="A91" s="74" t="str">
        <f>Unidades!A84</f>
        <v>D-012</v>
      </c>
      <c r="B91" s="75" t="str">
        <f>Unidades!B84</f>
        <v>T4</v>
      </c>
      <c r="C91" s="75" t="str">
        <f>Unidades!C84</f>
        <v>Fase 3</v>
      </c>
      <c r="D91" s="76">
        <f>Unidades!H84</f>
        <v>94.789000000000001</v>
      </c>
      <c r="E91" s="76">
        <f>Unidades!I84</f>
        <v>83.65</v>
      </c>
      <c r="F91" s="50">
        <v>1054.18</v>
      </c>
      <c r="G91" s="72">
        <f t="shared" si="5"/>
        <v>31625.4</v>
      </c>
      <c r="H91" s="72">
        <f t="shared" si="6"/>
        <v>180099.1</v>
      </c>
      <c r="I91" s="72">
        <f t="shared" si="7"/>
        <v>58555.000000000007</v>
      </c>
      <c r="J91" s="51">
        <f t="shared" si="8"/>
        <v>270279.5</v>
      </c>
      <c r="K91" s="77">
        <f t="shared" si="9"/>
        <v>1514.6884929863986</v>
      </c>
      <c r="AC91" s="94" t="s">
        <v>622</v>
      </c>
    </row>
    <row r="92" spans="1:29" ht="15" customHeight="1" x14ac:dyDescent="0.25">
      <c r="A92" s="74" t="str">
        <f>Unidades!A85</f>
        <v>D-013</v>
      </c>
      <c r="B92" s="75" t="str">
        <f>Unidades!B85</f>
        <v>T4</v>
      </c>
      <c r="C92" s="75" t="str">
        <f>Unidades!C85</f>
        <v>Fase 3</v>
      </c>
      <c r="D92" s="76">
        <f>Unidades!H85</f>
        <v>94.789000000000001</v>
      </c>
      <c r="E92" s="76">
        <f>Unidades!I85</f>
        <v>83.65</v>
      </c>
      <c r="F92" s="50">
        <v>776.08</v>
      </c>
      <c r="G92" s="72">
        <f t="shared" si="5"/>
        <v>23282.400000000001</v>
      </c>
      <c r="H92" s="72">
        <f t="shared" si="6"/>
        <v>180099.1</v>
      </c>
      <c r="I92" s="72">
        <f t="shared" si="7"/>
        <v>58555.000000000007</v>
      </c>
      <c r="J92" s="51">
        <f t="shared" si="8"/>
        <v>261936.5</v>
      </c>
      <c r="K92" s="77">
        <f t="shared" si="9"/>
        <v>1467.9330191269844</v>
      </c>
      <c r="AC92" s="94" t="s">
        <v>622</v>
      </c>
    </row>
    <row r="93" spans="1:29" ht="15" customHeight="1" x14ac:dyDescent="0.25">
      <c r="A93" s="74" t="str">
        <f>Unidades!A86</f>
        <v>D-014</v>
      </c>
      <c r="B93" s="75" t="str">
        <f>Unidades!B86</f>
        <v>T4</v>
      </c>
      <c r="C93" s="75" t="str">
        <f>Unidades!C86</f>
        <v>Fase 3</v>
      </c>
      <c r="D93" s="76">
        <f>Unidades!H86</f>
        <v>94.789000000000001</v>
      </c>
      <c r="E93" s="76">
        <f>Unidades!I86</f>
        <v>83.65</v>
      </c>
      <c r="F93" s="50">
        <v>790.16</v>
      </c>
      <c r="G93" s="72">
        <f t="shared" si="5"/>
        <v>23704.799999999999</v>
      </c>
      <c r="H93" s="72">
        <f t="shared" si="6"/>
        <v>180099.1</v>
      </c>
      <c r="I93" s="72">
        <f t="shared" si="7"/>
        <v>58555.000000000007</v>
      </c>
      <c r="J93" s="51">
        <f t="shared" si="8"/>
        <v>262358.90000000002</v>
      </c>
      <c r="K93" s="77">
        <f t="shared" si="9"/>
        <v>1470.3002146391764</v>
      </c>
      <c r="AC93" s="94" t="s">
        <v>616</v>
      </c>
    </row>
    <row r="94" spans="1:29" ht="15" customHeight="1" x14ac:dyDescent="0.25">
      <c r="A94" s="74" t="str">
        <f>Unidades!A87</f>
        <v>D-015</v>
      </c>
      <c r="B94" s="75" t="str">
        <f>Unidades!B87</f>
        <v>T4</v>
      </c>
      <c r="C94" s="75" t="str">
        <f>Unidades!C87</f>
        <v>Fase 3</v>
      </c>
      <c r="D94" s="76">
        <f>Unidades!H87</f>
        <v>94.789000000000001</v>
      </c>
      <c r="E94" s="76">
        <f>Unidades!I87</f>
        <v>83.65</v>
      </c>
      <c r="F94" s="50">
        <v>834.48</v>
      </c>
      <c r="G94" s="72">
        <f t="shared" si="5"/>
        <v>25034.400000000001</v>
      </c>
      <c r="H94" s="72">
        <f t="shared" si="6"/>
        <v>180099.1</v>
      </c>
      <c r="I94" s="72">
        <f t="shared" si="7"/>
        <v>58555.000000000007</v>
      </c>
      <c r="J94" s="51">
        <f t="shared" si="8"/>
        <v>263688.5</v>
      </c>
      <c r="K94" s="77">
        <f t="shared" si="9"/>
        <v>1477.75150051278</v>
      </c>
      <c r="AC94" s="94" t="s">
        <v>627</v>
      </c>
    </row>
    <row r="95" spans="1:29" ht="15" customHeight="1" x14ac:dyDescent="0.25">
      <c r="A95" s="74" t="str">
        <f>Unidades!A88</f>
        <v>D-016</v>
      </c>
      <c r="B95" s="75" t="str">
        <f>Unidades!B88</f>
        <v>T4</v>
      </c>
      <c r="C95" s="75" t="str">
        <f>Unidades!C88</f>
        <v>Fase 3</v>
      </c>
      <c r="D95" s="76">
        <f>Unidades!H88</f>
        <v>94.789000000000001</v>
      </c>
      <c r="E95" s="76">
        <f>Unidades!I88</f>
        <v>83.65</v>
      </c>
      <c r="F95" s="50">
        <v>907.19</v>
      </c>
      <c r="G95" s="72">
        <f t="shared" si="5"/>
        <v>27215.7</v>
      </c>
      <c r="H95" s="72">
        <f t="shared" si="6"/>
        <v>180099.1</v>
      </c>
      <c r="I95" s="72">
        <f t="shared" si="7"/>
        <v>58555.000000000007</v>
      </c>
      <c r="J95" s="51">
        <f t="shared" si="8"/>
        <v>265869.80000000005</v>
      </c>
      <c r="K95" s="77">
        <f t="shared" si="9"/>
        <v>1489.9758460874586</v>
      </c>
      <c r="AC95" s="94" t="s">
        <v>622</v>
      </c>
    </row>
    <row r="96" spans="1:29" ht="15" customHeight="1" x14ac:dyDescent="0.25">
      <c r="A96" s="74" t="str">
        <f>Unidades!A89</f>
        <v>D-017</v>
      </c>
      <c r="B96" s="75" t="str">
        <f>Unidades!B89</f>
        <v>T4</v>
      </c>
      <c r="C96" s="75" t="str">
        <f>Unidades!C89</f>
        <v>Fase 3</v>
      </c>
      <c r="D96" s="76">
        <f>Unidades!H89</f>
        <v>94.789000000000001</v>
      </c>
      <c r="E96" s="76">
        <f>Unidades!I89</f>
        <v>83.65</v>
      </c>
      <c r="F96" s="50">
        <v>637.13</v>
      </c>
      <c r="G96" s="72">
        <f t="shared" si="5"/>
        <v>19113.900000000001</v>
      </c>
      <c r="H96" s="72">
        <f t="shared" si="6"/>
        <v>180099.1</v>
      </c>
      <c r="I96" s="72">
        <f t="shared" si="7"/>
        <v>58555.000000000007</v>
      </c>
      <c r="J96" s="51">
        <f t="shared" si="8"/>
        <v>257768</v>
      </c>
      <c r="K96" s="77">
        <f t="shared" si="9"/>
        <v>1444.5720946654037</v>
      </c>
      <c r="AC96" s="94" t="s">
        <v>622</v>
      </c>
    </row>
    <row r="97" spans="1:29" ht="15" customHeight="1" x14ac:dyDescent="0.25">
      <c r="A97" s="74" t="str">
        <f>Unidades!A90</f>
        <v>D-018</v>
      </c>
      <c r="B97" s="75" t="str">
        <f>Unidades!B90</f>
        <v>T4</v>
      </c>
      <c r="C97" s="75" t="str">
        <f>Unidades!C90</f>
        <v>Fase 3</v>
      </c>
      <c r="D97" s="76">
        <f>Unidades!H90</f>
        <v>94.789000000000001</v>
      </c>
      <c r="E97" s="76">
        <f>Unidades!I90</f>
        <v>83.65</v>
      </c>
      <c r="F97" s="50">
        <v>531.32000000000005</v>
      </c>
      <c r="G97" s="72">
        <f t="shared" si="5"/>
        <v>15939.600000000002</v>
      </c>
      <c r="H97" s="72">
        <f t="shared" si="6"/>
        <v>180099.1</v>
      </c>
      <c r="I97" s="72">
        <f t="shared" si="7"/>
        <v>58555.000000000007</v>
      </c>
      <c r="J97" s="51">
        <f t="shared" si="8"/>
        <v>254593.7</v>
      </c>
      <c r="K97" s="77">
        <f t="shared" si="9"/>
        <v>1426.7828221408995</v>
      </c>
      <c r="AC97" s="94" t="s">
        <v>616</v>
      </c>
    </row>
    <row r="98" spans="1:29" ht="15" customHeight="1" x14ac:dyDescent="0.25">
      <c r="A98" s="74" t="str">
        <f>Unidades!A91</f>
        <v>D-019</v>
      </c>
      <c r="B98" s="75" t="str">
        <f>Unidades!B91</f>
        <v>T4</v>
      </c>
      <c r="C98" s="75" t="str">
        <f>Unidades!C91</f>
        <v>Fase 3</v>
      </c>
      <c r="D98" s="76">
        <f>Unidades!H91</f>
        <v>94.789000000000001</v>
      </c>
      <c r="E98" s="76">
        <f>Unidades!I91</f>
        <v>83.65</v>
      </c>
      <c r="F98" s="50">
        <v>714.85</v>
      </c>
      <c r="G98" s="72">
        <f t="shared" si="5"/>
        <v>21445.5</v>
      </c>
      <c r="H98" s="72">
        <f t="shared" si="6"/>
        <v>180099.1</v>
      </c>
      <c r="I98" s="72">
        <f t="shared" si="7"/>
        <v>58555.000000000007</v>
      </c>
      <c r="J98" s="51">
        <f t="shared" si="8"/>
        <v>260099.6</v>
      </c>
      <c r="K98" s="77">
        <f t="shared" si="9"/>
        <v>1457.6387448932126</v>
      </c>
      <c r="AC98" s="94" t="s">
        <v>622</v>
      </c>
    </row>
    <row r="99" spans="1:29" ht="15" customHeight="1" x14ac:dyDescent="0.25">
      <c r="A99" s="74" t="str">
        <f>Unidades!A92</f>
        <v>D-020</v>
      </c>
      <c r="B99" s="75" t="str">
        <f>Unidades!B92</f>
        <v>T4</v>
      </c>
      <c r="C99" s="75" t="str">
        <f>Unidades!C92</f>
        <v>Fase 3</v>
      </c>
      <c r="D99" s="76">
        <f>Unidades!H92</f>
        <v>94.789000000000001</v>
      </c>
      <c r="E99" s="76">
        <f>Unidades!I92</f>
        <v>83.65</v>
      </c>
      <c r="F99" s="50">
        <v>605.95000000000005</v>
      </c>
      <c r="G99" s="72">
        <f t="shared" si="5"/>
        <v>18178.5</v>
      </c>
      <c r="H99" s="72">
        <f t="shared" si="6"/>
        <v>180099.1</v>
      </c>
      <c r="I99" s="72">
        <f t="shared" si="7"/>
        <v>58555.000000000007</v>
      </c>
      <c r="J99" s="51">
        <f t="shared" si="8"/>
        <v>256832.6</v>
      </c>
      <c r="K99" s="77">
        <f t="shared" si="9"/>
        <v>1439.3299671036038</v>
      </c>
      <c r="AC99" s="94" t="s">
        <v>627</v>
      </c>
    </row>
    <row r="100" spans="1:29" ht="15" customHeight="1" x14ac:dyDescent="0.25">
      <c r="A100" s="74" t="str">
        <f>Unidades!A93</f>
        <v>D-021</v>
      </c>
      <c r="B100" s="75" t="str">
        <f>Unidades!B93</f>
        <v>T4</v>
      </c>
      <c r="C100" s="75" t="str">
        <f>Unidades!C93</f>
        <v>Fase 3</v>
      </c>
      <c r="D100" s="76">
        <f>Unidades!H93</f>
        <v>94.789000000000001</v>
      </c>
      <c r="E100" s="76">
        <f>Unidades!I93</f>
        <v>83.65</v>
      </c>
      <c r="F100" s="50">
        <v>796.28</v>
      </c>
      <c r="G100" s="72">
        <f t="shared" si="5"/>
        <v>23888.399999999998</v>
      </c>
      <c r="H100" s="72">
        <f t="shared" si="6"/>
        <v>180099.1</v>
      </c>
      <c r="I100" s="72">
        <f t="shared" si="7"/>
        <v>58555.000000000007</v>
      </c>
      <c r="J100" s="51">
        <f t="shared" si="8"/>
        <v>262542.5</v>
      </c>
      <c r="K100" s="77">
        <f t="shared" si="9"/>
        <v>1471.3291376885097</v>
      </c>
      <c r="AC100" s="94" t="s">
        <v>622</v>
      </c>
    </row>
    <row r="101" spans="1:29" ht="15" customHeight="1" x14ac:dyDescent="0.25">
      <c r="A101" s="74" t="str">
        <f>Unidades!A94</f>
        <v>D-022</v>
      </c>
      <c r="B101" s="75" t="str">
        <f>Unidades!B94</f>
        <v>T4</v>
      </c>
      <c r="C101" s="75" t="str">
        <f>Unidades!C94</f>
        <v>Fase 3</v>
      </c>
      <c r="D101" s="76">
        <f>Unidades!H94</f>
        <v>94.789000000000001</v>
      </c>
      <c r="E101" s="76">
        <f>Unidades!I94</f>
        <v>83.65</v>
      </c>
      <c r="F101" s="50">
        <v>701</v>
      </c>
      <c r="G101" s="72">
        <f t="shared" si="5"/>
        <v>21030</v>
      </c>
      <c r="H101" s="72">
        <f t="shared" si="6"/>
        <v>180099.1</v>
      </c>
      <c r="I101" s="72">
        <f t="shared" si="7"/>
        <v>58555.000000000007</v>
      </c>
      <c r="J101" s="51">
        <f t="shared" si="8"/>
        <v>259684.1</v>
      </c>
      <c r="K101" s="77">
        <f t="shared" si="9"/>
        <v>1455.3102180577114</v>
      </c>
      <c r="AC101" s="94" t="s">
        <v>622</v>
      </c>
    </row>
    <row r="102" spans="1:29" ht="15" customHeight="1" x14ac:dyDescent="0.25">
      <c r="A102" s="74" t="str">
        <f>Unidades!A95</f>
        <v>D-023</v>
      </c>
      <c r="B102" s="75" t="str">
        <f>Unidades!B95</f>
        <v>T4</v>
      </c>
      <c r="C102" s="75" t="str">
        <f>Unidades!C95</f>
        <v>Fase 3</v>
      </c>
      <c r="D102" s="76">
        <f>Unidades!H95</f>
        <v>94.789000000000001</v>
      </c>
      <c r="E102" s="76">
        <f>Unidades!I95</f>
        <v>83.65</v>
      </c>
      <c r="F102" s="50">
        <v>710.35</v>
      </c>
      <c r="G102" s="72">
        <f t="shared" si="5"/>
        <v>21310.5</v>
      </c>
      <c r="H102" s="72">
        <f t="shared" si="6"/>
        <v>180099.1</v>
      </c>
      <c r="I102" s="72">
        <f t="shared" si="7"/>
        <v>58555.000000000007</v>
      </c>
      <c r="J102" s="51">
        <f t="shared" si="8"/>
        <v>259964.6</v>
      </c>
      <c r="K102" s="77">
        <f t="shared" si="9"/>
        <v>1456.8821838275264</v>
      </c>
      <c r="AC102" s="94" t="s">
        <v>622</v>
      </c>
    </row>
    <row r="103" spans="1:29" ht="15" customHeight="1" x14ac:dyDescent="0.25">
      <c r="A103" s="74" t="str">
        <f>Unidades!A96</f>
        <v>D-024</v>
      </c>
      <c r="B103" s="75" t="str">
        <f>Unidades!B96</f>
        <v>T4</v>
      </c>
      <c r="C103" s="75" t="str">
        <f>Unidades!C96</f>
        <v>Fase 3</v>
      </c>
      <c r="D103" s="76">
        <f>Unidades!H96</f>
        <v>94.789000000000001</v>
      </c>
      <c r="E103" s="76">
        <f>Unidades!I96</f>
        <v>83.65</v>
      </c>
      <c r="F103" s="50">
        <v>730.49</v>
      </c>
      <c r="G103" s="72">
        <f t="shared" si="5"/>
        <v>21914.7</v>
      </c>
      <c r="H103" s="72">
        <f t="shared" si="6"/>
        <v>180099.1</v>
      </c>
      <c r="I103" s="72">
        <f t="shared" si="7"/>
        <v>58555.000000000007</v>
      </c>
      <c r="J103" s="51">
        <f t="shared" si="8"/>
        <v>260568.80000000002</v>
      </c>
      <c r="K103" s="77">
        <f t="shared" si="9"/>
        <v>1460.2682149081759</v>
      </c>
      <c r="AC103" s="94" t="s">
        <v>616</v>
      </c>
    </row>
    <row r="104" spans="1:29" ht="15" customHeight="1" x14ac:dyDescent="0.25">
      <c r="A104" s="74" t="str">
        <f>Unidades!A97</f>
        <v>D-025</v>
      </c>
      <c r="B104" s="75" t="str">
        <f>Unidades!B97</f>
        <v>T4</v>
      </c>
      <c r="C104" s="75" t="str">
        <f>Unidades!C97</f>
        <v>Fase 3</v>
      </c>
      <c r="D104" s="76">
        <f>Unidades!H97</f>
        <v>94.789000000000001</v>
      </c>
      <c r="E104" s="76">
        <f>Unidades!I97</f>
        <v>83.65</v>
      </c>
      <c r="F104" s="50">
        <v>826.59</v>
      </c>
      <c r="G104" s="72">
        <f t="shared" si="5"/>
        <v>24797.7</v>
      </c>
      <c r="H104" s="72">
        <f t="shared" si="6"/>
        <v>180099.1</v>
      </c>
      <c r="I104" s="72">
        <f t="shared" si="7"/>
        <v>58555.000000000007</v>
      </c>
      <c r="J104" s="51">
        <f t="shared" si="8"/>
        <v>263451.80000000005</v>
      </c>
      <c r="K104" s="77">
        <f t="shared" si="9"/>
        <v>1476.4249967776104</v>
      </c>
      <c r="AC104" s="94" t="s">
        <v>616</v>
      </c>
    </row>
    <row r="105" spans="1:29" ht="15" customHeight="1" x14ac:dyDescent="0.25">
      <c r="A105" s="74" t="str">
        <f>Unidades!A98</f>
        <v>D-026</v>
      </c>
      <c r="B105" s="75" t="str">
        <f>Unidades!B98</f>
        <v>T4</v>
      </c>
      <c r="C105" s="75" t="str">
        <f>Unidades!C98</f>
        <v>Fase 3</v>
      </c>
      <c r="D105" s="76">
        <f>Unidades!H98</f>
        <v>94.789000000000001</v>
      </c>
      <c r="E105" s="76">
        <f>Unidades!I98</f>
        <v>83.65</v>
      </c>
      <c r="F105" s="50">
        <v>535.20000000000005</v>
      </c>
      <c r="G105" s="72">
        <f t="shared" si="5"/>
        <v>16056.000000000002</v>
      </c>
      <c r="H105" s="72">
        <f t="shared" si="6"/>
        <v>180099.1</v>
      </c>
      <c r="I105" s="72">
        <f t="shared" si="7"/>
        <v>58555.000000000007</v>
      </c>
      <c r="J105" s="51">
        <f t="shared" si="8"/>
        <v>254710.1</v>
      </c>
      <c r="K105" s="77">
        <f t="shared" si="9"/>
        <v>1427.4351459042025</v>
      </c>
      <c r="AC105" s="94" t="s">
        <v>627</v>
      </c>
    </row>
    <row r="106" spans="1:29" ht="15" customHeight="1" x14ac:dyDescent="0.25">
      <c r="A106" s="74" t="str">
        <f>Unidades!A99</f>
        <v>D-027</v>
      </c>
      <c r="B106" s="75" t="str">
        <f>Unidades!B99</f>
        <v>T4</v>
      </c>
      <c r="C106" s="75" t="str">
        <f>Unidades!C99</f>
        <v>Fase 3</v>
      </c>
      <c r="D106" s="76">
        <f>Unidades!H99</f>
        <v>94.789000000000001</v>
      </c>
      <c r="E106" s="76">
        <f>Unidades!I99</f>
        <v>83.65</v>
      </c>
      <c r="F106" s="50">
        <v>494.22</v>
      </c>
      <c r="G106" s="72">
        <f t="shared" si="5"/>
        <v>14826.6</v>
      </c>
      <c r="H106" s="72">
        <f t="shared" si="6"/>
        <v>180099.1</v>
      </c>
      <c r="I106" s="72">
        <f t="shared" si="7"/>
        <v>58555.000000000007</v>
      </c>
      <c r="J106" s="51">
        <f t="shared" si="8"/>
        <v>253480.7</v>
      </c>
      <c r="K106" s="77">
        <f t="shared" si="9"/>
        <v>1420.5453964660192</v>
      </c>
      <c r="AC106" s="94" t="s">
        <v>627</v>
      </c>
    </row>
    <row r="107" spans="1:29" ht="15" customHeight="1" x14ac:dyDescent="0.25">
      <c r="A107" s="74" t="str">
        <f>Unidades!A100</f>
        <v>D-028</v>
      </c>
      <c r="B107" s="75" t="str">
        <f>Unidades!B100</f>
        <v>T4</v>
      </c>
      <c r="C107" s="75" t="str">
        <f>Unidades!C100</f>
        <v>Fase 3</v>
      </c>
      <c r="D107" s="76">
        <f>Unidades!H100</f>
        <v>94.789000000000001</v>
      </c>
      <c r="E107" s="76">
        <f>Unidades!I100</f>
        <v>83.65</v>
      </c>
      <c r="F107" s="50">
        <v>713.8</v>
      </c>
      <c r="G107" s="72">
        <f t="shared" si="5"/>
        <v>21414</v>
      </c>
      <c r="H107" s="72">
        <f t="shared" si="6"/>
        <v>180099.1</v>
      </c>
      <c r="I107" s="72">
        <f t="shared" si="7"/>
        <v>58555.000000000007</v>
      </c>
      <c r="J107" s="51">
        <f t="shared" si="8"/>
        <v>260068.1</v>
      </c>
      <c r="K107" s="77">
        <f t="shared" si="9"/>
        <v>1457.4622139778858</v>
      </c>
      <c r="AC107" s="94" t="s">
        <v>616</v>
      </c>
    </row>
    <row r="108" spans="1:29" ht="15" customHeight="1" x14ac:dyDescent="0.25">
      <c r="A108" s="74" t="str">
        <f>Unidades!A101</f>
        <v>D-029</v>
      </c>
      <c r="B108" s="75" t="str">
        <f>Unidades!B101</f>
        <v>T4</v>
      </c>
      <c r="C108" s="75" t="str">
        <f>Unidades!C101</f>
        <v>Fase 3</v>
      </c>
      <c r="D108" s="76">
        <f>Unidades!H101</f>
        <v>94.789000000000001</v>
      </c>
      <c r="E108" s="76">
        <f>Unidades!I101</f>
        <v>83.65</v>
      </c>
      <c r="F108" s="50">
        <v>685.11</v>
      </c>
      <c r="G108" s="72">
        <f t="shared" si="5"/>
        <v>20553.3</v>
      </c>
      <c r="H108" s="72">
        <f t="shared" si="6"/>
        <v>180099.1</v>
      </c>
      <c r="I108" s="72">
        <f t="shared" si="7"/>
        <v>58555.000000000007</v>
      </c>
      <c r="J108" s="51">
        <f t="shared" si="8"/>
        <v>259207.4</v>
      </c>
      <c r="K108" s="77">
        <f t="shared" si="9"/>
        <v>1452.6387168724325</v>
      </c>
      <c r="AC108" s="94" t="s">
        <v>616</v>
      </c>
    </row>
    <row r="109" spans="1:29" ht="15" customHeight="1" x14ac:dyDescent="0.25">
      <c r="A109" s="74" t="str">
        <f>Unidades!A102</f>
        <v>D-030</v>
      </c>
      <c r="B109" s="75" t="str">
        <f>Unidades!B102</f>
        <v>T4</v>
      </c>
      <c r="C109" s="75" t="str">
        <f>Unidades!C102</f>
        <v>Fase 3</v>
      </c>
      <c r="D109" s="76">
        <f>Unidades!H102</f>
        <v>94.789000000000001</v>
      </c>
      <c r="E109" s="76">
        <f>Unidades!I102</f>
        <v>83.65</v>
      </c>
      <c r="F109" s="50">
        <v>637.11</v>
      </c>
      <c r="G109" s="72">
        <f t="shared" si="5"/>
        <v>19113.3</v>
      </c>
      <c r="H109" s="72">
        <f t="shared" si="6"/>
        <v>180099.1</v>
      </c>
      <c r="I109" s="72">
        <f t="shared" si="7"/>
        <v>58555.000000000007</v>
      </c>
      <c r="J109" s="51">
        <f t="shared" si="8"/>
        <v>257767.4</v>
      </c>
      <c r="K109" s="77">
        <f t="shared" si="9"/>
        <v>1444.5687321717785</v>
      </c>
      <c r="AC109" s="94" t="s">
        <v>622</v>
      </c>
    </row>
    <row r="110" spans="1:29" ht="15" customHeight="1" x14ac:dyDescent="0.25">
      <c r="A110" s="74" t="str">
        <f>Unidades!A103</f>
        <v>D-031</v>
      </c>
      <c r="B110" s="75" t="str">
        <f>Unidades!B103</f>
        <v>T4</v>
      </c>
      <c r="C110" s="75" t="str">
        <f>Unidades!C103</f>
        <v>Fase 3</v>
      </c>
      <c r="D110" s="76">
        <f>Unidades!H103</f>
        <v>94.789000000000001</v>
      </c>
      <c r="E110" s="76">
        <f>Unidades!I103</f>
        <v>83.65</v>
      </c>
      <c r="F110" s="50">
        <v>696.59</v>
      </c>
      <c r="G110" s="72">
        <f t="shared" si="5"/>
        <v>20897.7</v>
      </c>
      <c r="H110" s="72">
        <f t="shared" si="6"/>
        <v>180099.1</v>
      </c>
      <c r="I110" s="72">
        <f t="shared" si="7"/>
        <v>58555.000000000007</v>
      </c>
      <c r="J110" s="51">
        <f t="shared" si="8"/>
        <v>259551.80000000002</v>
      </c>
      <c r="K110" s="77">
        <f t="shared" si="9"/>
        <v>1454.5687882133388</v>
      </c>
      <c r="AC110" s="94" t="s">
        <v>616</v>
      </c>
    </row>
    <row r="111" spans="1:29" ht="15" customHeight="1" x14ac:dyDescent="0.25">
      <c r="A111" s="74" t="str">
        <f>Unidades!A104</f>
        <v>D-032</v>
      </c>
      <c r="B111" s="75" t="str">
        <f>Unidades!B104</f>
        <v>T4</v>
      </c>
      <c r="C111" s="75" t="str">
        <f>Unidades!C104</f>
        <v>Fase 3</v>
      </c>
      <c r="D111" s="76">
        <f>Unidades!H104</f>
        <v>94.789000000000001</v>
      </c>
      <c r="E111" s="76">
        <f>Unidades!I104</f>
        <v>83.65</v>
      </c>
      <c r="F111" s="50">
        <v>1016.94</v>
      </c>
      <c r="G111" s="72">
        <f t="shared" si="5"/>
        <v>30508.2</v>
      </c>
      <c r="H111" s="72">
        <f t="shared" si="6"/>
        <v>180099.1</v>
      </c>
      <c r="I111" s="72">
        <f t="shared" si="7"/>
        <v>58555.000000000007</v>
      </c>
      <c r="J111" s="51">
        <f t="shared" si="8"/>
        <v>269162.30000000005</v>
      </c>
      <c r="K111" s="77">
        <f t="shared" si="9"/>
        <v>1508.4275298561413</v>
      </c>
      <c r="AC111" s="94" t="s">
        <v>616</v>
      </c>
    </row>
    <row r="112" spans="1:29" ht="15" customHeight="1" x14ac:dyDescent="0.25">
      <c r="A112" s="74" t="str">
        <f>Unidades!A105</f>
        <v>D-033</v>
      </c>
      <c r="B112" s="75" t="str">
        <f>Unidades!B105</f>
        <v>T4</v>
      </c>
      <c r="C112" s="75" t="str">
        <f>Unidades!C105</f>
        <v>Fase 3</v>
      </c>
      <c r="D112" s="76">
        <f>Unidades!H105</f>
        <v>94.789000000000001</v>
      </c>
      <c r="E112" s="76">
        <f>Unidades!I105</f>
        <v>83.65</v>
      </c>
      <c r="F112" s="50">
        <v>793.18</v>
      </c>
      <c r="G112" s="72">
        <f t="shared" si="5"/>
        <v>23795.399999999998</v>
      </c>
      <c r="H112" s="72">
        <f t="shared" si="6"/>
        <v>180099.1</v>
      </c>
      <c r="I112" s="72">
        <f t="shared" si="7"/>
        <v>58555.000000000007</v>
      </c>
      <c r="J112" s="51">
        <f t="shared" si="8"/>
        <v>262449.5</v>
      </c>
      <c r="K112" s="77">
        <f t="shared" si="9"/>
        <v>1470.8079511765925</v>
      </c>
      <c r="AC112" s="94" t="s">
        <v>616</v>
      </c>
    </row>
    <row r="113" spans="1:29" ht="15" customHeight="1" x14ac:dyDescent="0.25">
      <c r="A113" s="74" t="str">
        <f>Unidades!A106</f>
        <v>D-034</v>
      </c>
      <c r="B113" s="75" t="str">
        <f>Unidades!B106</f>
        <v>T4</v>
      </c>
      <c r="C113" s="75" t="str">
        <f>Unidades!C106</f>
        <v>Fase 3</v>
      </c>
      <c r="D113" s="76">
        <f>Unidades!H106</f>
        <v>94.789000000000001</v>
      </c>
      <c r="E113" s="76">
        <f>Unidades!I106</f>
        <v>83.65</v>
      </c>
      <c r="F113" s="50">
        <v>732.55</v>
      </c>
      <c r="G113" s="72">
        <f t="shared" si="5"/>
        <v>21976.5</v>
      </c>
      <c r="H113" s="72">
        <f t="shared" si="6"/>
        <v>180099.1</v>
      </c>
      <c r="I113" s="72">
        <f t="shared" si="7"/>
        <v>58555.000000000007</v>
      </c>
      <c r="J113" s="51">
        <f t="shared" si="8"/>
        <v>260630.6</v>
      </c>
      <c r="K113" s="77">
        <f t="shared" si="9"/>
        <v>1460.6145517515788</v>
      </c>
      <c r="AC113" s="94" t="s">
        <v>622</v>
      </c>
    </row>
    <row r="114" spans="1:29" ht="15" customHeight="1" x14ac:dyDescent="0.25">
      <c r="A114" s="74" t="str">
        <f>Unidades!A107</f>
        <v>D-035</v>
      </c>
      <c r="B114" s="75" t="str">
        <f>Unidades!B107</f>
        <v>T4</v>
      </c>
      <c r="C114" s="75" t="str">
        <f>Unidades!C107</f>
        <v>Fase 3</v>
      </c>
      <c r="D114" s="76">
        <f>Unidades!H107</f>
        <v>94.789000000000001</v>
      </c>
      <c r="E114" s="76">
        <f>Unidades!I107</f>
        <v>83.65</v>
      </c>
      <c r="F114" s="50">
        <v>796.67</v>
      </c>
      <c r="G114" s="72">
        <f t="shared" si="5"/>
        <v>23900.1</v>
      </c>
      <c r="H114" s="72">
        <f t="shared" si="6"/>
        <v>180099.1</v>
      </c>
      <c r="I114" s="72">
        <f t="shared" si="7"/>
        <v>58555.000000000007</v>
      </c>
      <c r="J114" s="51">
        <f t="shared" si="8"/>
        <v>262554.2</v>
      </c>
      <c r="K114" s="77">
        <f t="shared" si="9"/>
        <v>1471.3947063142025</v>
      </c>
      <c r="AC114" s="94" t="s">
        <v>622</v>
      </c>
    </row>
    <row r="115" spans="1:29" ht="15" customHeight="1" x14ac:dyDescent="0.25">
      <c r="A115" s="74" t="str">
        <f>Unidades!A108</f>
        <v>D-036</v>
      </c>
      <c r="B115" s="75" t="str">
        <f>Unidades!B108</f>
        <v>T4</v>
      </c>
      <c r="C115" s="75" t="str">
        <f>Unidades!C108</f>
        <v>Fase 3</v>
      </c>
      <c r="D115" s="76">
        <f>Unidades!H108</f>
        <v>94.789000000000001</v>
      </c>
      <c r="E115" s="76">
        <f>Unidades!I108</f>
        <v>83.65</v>
      </c>
      <c r="F115" s="50">
        <v>645.54</v>
      </c>
      <c r="G115" s="72">
        <f t="shared" si="5"/>
        <v>19366.199999999997</v>
      </c>
      <c r="H115" s="72">
        <f t="shared" si="6"/>
        <v>180099.1</v>
      </c>
      <c r="I115" s="72">
        <f t="shared" si="7"/>
        <v>58555.000000000007</v>
      </c>
      <c r="J115" s="51">
        <f t="shared" si="8"/>
        <v>258020.3</v>
      </c>
      <c r="K115" s="77">
        <f t="shared" si="9"/>
        <v>1445.9860232348308</v>
      </c>
      <c r="AC115" s="94" t="s">
        <v>616</v>
      </c>
    </row>
    <row r="116" spans="1:29" ht="15" customHeight="1" x14ac:dyDescent="0.25">
      <c r="A116" s="74" t="str">
        <f>Unidades!A109</f>
        <v>D-037</v>
      </c>
      <c r="B116" s="75" t="str">
        <f>Unidades!B109</f>
        <v>T4</v>
      </c>
      <c r="C116" s="75" t="str">
        <f>Unidades!C109</f>
        <v>Fase 3</v>
      </c>
      <c r="D116" s="76">
        <f>Unidades!H109</f>
        <v>94.789000000000001</v>
      </c>
      <c r="E116" s="76">
        <f>Unidades!I109</f>
        <v>83.65</v>
      </c>
      <c r="F116" s="50">
        <v>704.2</v>
      </c>
      <c r="G116" s="72">
        <f t="shared" si="5"/>
        <v>21126</v>
      </c>
      <c r="H116" s="72">
        <f t="shared" si="6"/>
        <v>180099.1</v>
      </c>
      <c r="I116" s="72">
        <f t="shared" si="7"/>
        <v>58555.000000000007</v>
      </c>
      <c r="J116" s="51">
        <f t="shared" si="8"/>
        <v>259780.1</v>
      </c>
      <c r="K116" s="77">
        <f t="shared" si="9"/>
        <v>1455.8482170377551</v>
      </c>
      <c r="AC116" s="94" t="s">
        <v>627</v>
      </c>
    </row>
    <row r="117" spans="1:29" ht="15" customHeight="1" x14ac:dyDescent="0.25">
      <c r="A117" s="74" t="str">
        <f>Unidades!A110</f>
        <v>D-038</v>
      </c>
      <c r="B117" s="75" t="str">
        <f>Unidades!B110</f>
        <v>T4</v>
      </c>
      <c r="C117" s="75" t="str">
        <f>Unidades!C110</f>
        <v>Fase 3</v>
      </c>
      <c r="D117" s="76">
        <f>Unidades!H110</f>
        <v>94.789000000000001</v>
      </c>
      <c r="E117" s="76">
        <f>Unidades!I110</f>
        <v>83.65</v>
      </c>
      <c r="F117" s="50">
        <v>753.9</v>
      </c>
      <c r="G117" s="72">
        <f t="shared" si="5"/>
        <v>22617</v>
      </c>
      <c r="H117" s="72">
        <f t="shared" si="6"/>
        <v>180099.1</v>
      </c>
      <c r="I117" s="72">
        <f t="shared" si="7"/>
        <v>58555.000000000007</v>
      </c>
      <c r="J117" s="51">
        <f t="shared" si="8"/>
        <v>261271.1</v>
      </c>
      <c r="K117" s="77">
        <f t="shared" si="9"/>
        <v>1464.2040136965572</v>
      </c>
      <c r="AC117" s="94" t="s">
        <v>622</v>
      </c>
    </row>
    <row r="118" spans="1:29" ht="15" customHeight="1" x14ac:dyDescent="0.25">
      <c r="A118" s="74" t="str">
        <f>Unidades!A111</f>
        <v>D-039</v>
      </c>
      <c r="B118" s="75" t="str">
        <f>Unidades!B111</f>
        <v>T4</v>
      </c>
      <c r="C118" s="75" t="str">
        <f>Unidades!C111</f>
        <v>Fase 3</v>
      </c>
      <c r="D118" s="76">
        <f>Unidades!H111</f>
        <v>94.789000000000001</v>
      </c>
      <c r="E118" s="76">
        <f>Unidades!I111</f>
        <v>83.65</v>
      </c>
      <c r="F118" s="50">
        <v>957.95</v>
      </c>
      <c r="G118" s="72">
        <f t="shared" si="5"/>
        <v>28738.5</v>
      </c>
      <c r="H118" s="72">
        <f t="shared" si="6"/>
        <v>180099.1</v>
      </c>
      <c r="I118" s="72">
        <f t="shared" si="7"/>
        <v>58555.000000000007</v>
      </c>
      <c r="J118" s="51">
        <f t="shared" si="8"/>
        <v>267392.60000000003</v>
      </c>
      <c r="K118" s="77">
        <f t="shared" si="9"/>
        <v>1498.5098549084</v>
      </c>
      <c r="AC118" s="94" t="s">
        <v>616</v>
      </c>
    </row>
    <row r="119" spans="1:29" ht="15" customHeight="1" x14ac:dyDescent="0.25">
      <c r="A119" s="74" t="str">
        <f>Unidades!A112</f>
        <v>D-040</v>
      </c>
      <c r="B119" s="75" t="str">
        <f>Unidades!B112</f>
        <v>T4</v>
      </c>
      <c r="C119" s="75" t="str">
        <f>Unidades!C112</f>
        <v>Fase 3</v>
      </c>
      <c r="D119" s="76">
        <f>Unidades!H112</f>
        <v>94.789000000000001</v>
      </c>
      <c r="E119" s="76">
        <f>Unidades!I112</f>
        <v>83.65</v>
      </c>
      <c r="F119" s="50">
        <v>646.22</v>
      </c>
      <c r="G119" s="72">
        <f t="shared" si="5"/>
        <v>19386.600000000002</v>
      </c>
      <c r="H119" s="72">
        <f t="shared" si="6"/>
        <v>180099.1</v>
      </c>
      <c r="I119" s="72">
        <f t="shared" si="7"/>
        <v>58555.000000000007</v>
      </c>
      <c r="J119" s="51">
        <f t="shared" si="8"/>
        <v>258040.7</v>
      </c>
      <c r="K119" s="77">
        <f t="shared" si="9"/>
        <v>1446.10034801809</v>
      </c>
      <c r="AC119" s="94" t="s">
        <v>627</v>
      </c>
    </row>
    <row r="120" spans="1:29" ht="15" customHeight="1" x14ac:dyDescent="0.25">
      <c r="A120" s="74" t="str">
        <f>Unidades!A113</f>
        <v>D-041</v>
      </c>
      <c r="B120" s="75" t="str">
        <f>Unidades!B113</f>
        <v>T4</v>
      </c>
      <c r="C120" s="75" t="str">
        <f>Unidades!C113</f>
        <v>Fase 3</v>
      </c>
      <c r="D120" s="76">
        <f>Unidades!H113</f>
        <v>94.789000000000001</v>
      </c>
      <c r="E120" s="76">
        <f>Unidades!I113</f>
        <v>83.65</v>
      </c>
      <c r="F120" s="50">
        <v>604.61</v>
      </c>
      <c r="G120" s="72">
        <f t="shared" si="5"/>
        <v>18138.3</v>
      </c>
      <c r="H120" s="72">
        <f t="shared" si="6"/>
        <v>180099.1</v>
      </c>
      <c r="I120" s="72">
        <f t="shared" si="7"/>
        <v>58555.000000000007</v>
      </c>
      <c r="J120" s="51">
        <f t="shared" si="8"/>
        <v>256792.4</v>
      </c>
      <c r="K120" s="77">
        <f t="shared" si="9"/>
        <v>1439.1046800307106</v>
      </c>
      <c r="AC120" s="94" t="s">
        <v>616</v>
      </c>
    </row>
    <row r="121" spans="1:29" ht="15" customHeight="1" x14ac:dyDescent="0.25">
      <c r="A121" s="74" t="str">
        <f>Unidades!A114</f>
        <v>D-042</v>
      </c>
      <c r="B121" s="75" t="str">
        <f>Unidades!B114</f>
        <v>T4</v>
      </c>
      <c r="C121" s="75" t="str">
        <f>Unidades!C114</f>
        <v>Fase 3</v>
      </c>
      <c r="D121" s="76">
        <f>Unidades!H114</f>
        <v>94.789000000000001</v>
      </c>
      <c r="E121" s="76">
        <f>Unidades!I114</f>
        <v>83.65</v>
      </c>
      <c r="F121" s="50">
        <v>569.86</v>
      </c>
      <c r="G121" s="72">
        <f t="shared" si="5"/>
        <v>17095.8</v>
      </c>
      <c r="H121" s="72">
        <f t="shared" si="6"/>
        <v>180099.1</v>
      </c>
      <c r="I121" s="72">
        <f t="shared" si="7"/>
        <v>58555.000000000007</v>
      </c>
      <c r="J121" s="51">
        <f t="shared" si="8"/>
        <v>255749.9</v>
      </c>
      <c r="K121" s="77">
        <f t="shared" si="9"/>
        <v>1433.2623473567996</v>
      </c>
      <c r="AC121" s="94" t="s">
        <v>622</v>
      </c>
    </row>
    <row r="122" spans="1:29" ht="15" customHeight="1" x14ac:dyDescent="0.25">
      <c r="A122" s="74" t="str">
        <f>Unidades!A115</f>
        <v>D-043</v>
      </c>
      <c r="B122" s="75" t="str">
        <f>Unidades!B115</f>
        <v>T4</v>
      </c>
      <c r="C122" s="75" t="str">
        <f>Unidades!C115</f>
        <v>Fase 3</v>
      </c>
      <c r="D122" s="76">
        <f>Unidades!H115</f>
        <v>94.789000000000001</v>
      </c>
      <c r="E122" s="76">
        <f>Unidades!I115</f>
        <v>83.65</v>
      </c>
      <c r="F122" s="50">
        <v>569.03</v>
      </c>
      <c r="G122" s="72">
        <f t="shared" si="5"/>
        <v>17070.899999999998</v>
      </c>
      <c r="H122" s="72">
        <f t="shared" si="6"/>
        <v>180099.1</v>
      </c>
      <c r="I122" s="72">
        <f t="shared" si="7"/>
        <v>58555.000000000007</v>
      </c>
      <c r="J122" s="51">
        <f t="shared" si="8"/>
        <v>255725</v>
      </c>
      <c r="K122" s="77">
        <f t="shared" si="9"/>
        <v>1433.1228038713509</v>
      </c>
      <c r="AC122" s="94" t="s">
        <v>616</v>
      </c>
    </row>
    <row r="123" spans="1:29" ht="15" customHeight="1" x14ac:dyDescent="0.25">
      <c r="A123" s="74" t="str">
        <f>Unidades!A116</f>
        <v>D-044</v>
      </c>
      <c r="B123" s="75" t="str">
        <f>Unidades!B116</f>
        <v>T4</v>
      </c>
      <c r="C123" s="75" t="str">
        <f>Unidades!C116</f>
        <v>Fase 3</v>
      </c>
      <c r="D123" s="76">
        <f>Unidades!H116</f>
        <v>94.789000000000001</v>
      </c>
      <c r="E123" s="76">
        <f>Unidades!I116</f>
        <v>83.65</v>
      </c>
      <c r="F123" s="50">
        <v>696.56</v>
      </c>
      <c r="G123" s="72">
        <f t="shared" si="5"/>
        <v>20896.8</v>
      </c>
      <c r="H123" s="72">
        <f t="shared" si="6"/>
        <v>180099.1</v>
      </c>
      <c r="I123" s="72">
        <f t="shared" si="7"/>
        <v>58555.000000000007</v>
      </c>
      <c r="J123" s="51">
        <f t="shared" si="8"/>
        <v>259550.9</v>
      </c>
      <c r="K123" s="77">
        <f t="shared" si="9"/>
        <v>1454.5637444729009</v>
      </c>
      <c r="AC123" s="94" t="s">
        <v>622</v>
      </c>
    </row>
    <row r="124" spans="1:29" ht="15" customHeight="1" x14ac:dyDescent="0.25">
      <c r="A124" s="74" t="str">
        <f>Unidades!A117</f>
        <v>D-045</v>
      </c>
      <c r="B124" s="75" t="str">
        <f>Unidades!B117</f>
        <v>T4</v>
      </c>
      <c r="C124" s="75" t="str">
        <f>Unidades!C117</f>
        <v>Fase 3</v>
      </c>
      <c r="D124" s="76">
        <f>Unidades!H117</f>
        <v>94.789000000000001</v>
      </c>
      <c r="E124" s="76">
        <f>Unidades!I117</f>
        <v>83.65</v>
      </c>
      <c r="F124" s="50">
        <v>568.07000000000005</v>
      </c>
      <c r="G124" s="72">
        <f t="shared" si="5"/>
        <v>17042.100000000002</v>
      </c>
      <c r="H124" s="72">
        <f t="shared" si="6"/>
        <v>180099.1</v>
      </c>
      <c r="I124" s="72">
        <f t="shared" si="7"/>
        <v>58555.000000000007</v>
      </c>
      <c r="J124" s="51">
        <f t="shared" si="8"/>
        <v>255696.2</v>
      </c>
      <c r="K124" s="77">
        <f t="shared" si="9"/>
        <v>1432.9614041773377</v>
      </c>
      <c r="AC124" s="94" t="s">
        <v>622</v>
      </c>
    </row>
    <row r="125" spans="1:29" ht="15" customHeight="1" x14ac:dyDescent="0.25">
      <c r="A125" s="74" t="str">
        <f>Unidades!A118</f>
        <v>D-046</v>
      </c>
      <c r="B125" s="75" t="str">
        <f>Unidades!B118</f>
        <v>T4</v>
      </c>
      <c r="C125" s="75" t="str">
        <f>Unidades!C118</f>
        <v>Fase 3</v>
      </c>
      <c r="D125" s="76">
        <f>Unidades!H118</f>
        <v>94.789000000000001</v>
      </c>
      <c r="E125" s="76">
        <f>Unidades!I118</f>
        <v>83.65</v>
      </c>
      <c r="F125" s="50">
        <v>694.45</v>
      </c>
      <c r="G125" s="72">
        <f t="shared" si="5"/>
        <v>20833.5</v>
      </c>
      <c r="H125" s="72">
        <f t="shared" si="6"/>
        <v>180099.1</v>
      </c>
      <c r="I125" s="72">
        <f t="shared" si="7"/>
        <v>58555.000000000007</v>
      </c>
      <c r="J125" s="51">
        <f t="shared" si="8"/>
        <v>259487.6</v>
      </c>
      <c r="K125" s="77">
        <f t="shared" si="9"/>
        <v>1454.2090013954348</v>
      </c>
      <c r="AC125" s="94" t="s">
        <v>616</v>
      </c>
    </row>
    <row r="126" spans="1:29" ht="15" customHeight="1" x14ac:dyDescent="0.25">
      <c r="A126" s="74" t="str">
        <f>Unidades!A119</f>
        <v>D-047</v>
      </c>
      <c r="B126" s="75" t="str">
        <f>Unidades!B119</f>
        <v>T4</v>
      </c>
      <c r="C126" s="75" t="str">
        <f>Unidades!C119</f>
        <v>Fase 3</v>
      </c>
      <c r="D126" s="76">
        <f>Unidades!H119</f>
        <v>94.789000000000001</v>
      </c>
      <c r="E126" s="76">
        <f>Unidades!I119</f>
        <v>83.65</v>
      </c>
      <c r="F126" s="50">
        <v>713.87</v>
      </c>
      <c r="G126" s="72">
        <f t="shared" si="5"/>
        <v>21416.1</v>
      </c>
      <c r="H126" s="72">
        <f t="shared" si="6"/>
        <v>180099.1</v>
      </c>
      <c r="I126" s="72">
        <f t="shared" si="7"/>
        <v>58555.000000000007</v>
      </c>
      <c r="J126" s="51">
        <f t="shared" si="8"/>
        <v>260070.2</v>
      </c>
      <c r="K126" s="77">
        <f t="shared" si="9"/>
        <v>1457.4739827055744</v>
      </c>
      <c r="AC126" s="94" t="s">
        <v>622</v>
      </c>
    </row>
    <row r="127" spans="1:29" ht="15" customHeight="1" x14ac:dyDescent="0.25">
      <c r="A127" s="74" t="str">
        <f>Unidades!A120</f>
        <v>D-048</v>
      </c>
      <c r="B127" s="75" t="str">
        <f>Unidades!B120</f>
        <v>T4</v>
      </c>
      <c r="C127" s="75" t="str">
        <f>Unidades!C120</f>
        <v>Fase 3</v>
      </c>
      <c r="D127" s="76">
        <f>Unidades!H120</f>
        <v>94.789000000000001</v>
      </c>
      <c r="E127" s="76">
        <f>Unidades!I120</f>
        <v>83.65</v>
      </c>
      <c r="F127" s="50">
        <v>803.22</v>
      </c>
      <c r="G127" s="72">
        <f t="shared" si="5"/>
        <v>24096.600000000002</v>
      </c>
      <c r="H127" s="72">
        <f t="shared" si="6"/>
        <v>180099.1</v>
      </c>
      <c r="I127" s="72">
        <f t="shared" si="7"/>
        <v>58555.000000000007</v>
      </c>
      <c r="J127" s="51">
        <f t="shared" si="8"/>
        <v>262750.7</v>
      </c>
      <c r="K127" s="77">
        <f t="shared" si="9"/>
        <v>1472.4959229764793</v>
      </c>
      <c r="AC127" s="94" t="s">
        <v>627</v>
      </c>
    </row>
    <row r="128" spans="1:29" ht="15" customHeight="1" x14ac:dyDescent="0.25">
      <c r="A128" s="74" t="str">
        <f>Unidades!A121</f>
        <v>D-049</v>
      </c>
      <c r="B128" s="75" t="str">
        <f>Unidades!B121</f>
        <v>T4</v>
      </c>
      <c r="C128" s="75" t="str">
        <f>Unidades!C121</f>
        <v>Fase 3</v>
      </c>
      <c r="D128" s="76">
        <f>Unidades!H121</f>
        <v>94.789000000000001</v>
      </c>
      <c r="E128" s="76">
        <f>Unidades!I121</f>
        <v>83.65</v>
      </c>
      <c r="F128" s="50">
        <v>724.28</v>
      </c>
      <c r="G128" s="72">
        <f t="shared" si="5"/>
        <v>21728.399999999998</v>
      </c>
      <c r="H128" s="72">
        <f t="shared" si="6"/>
        <v>180099.1</v>
      </c>
      <c r="I128" s="72">
        <f t="shared" si="7"/>
        <v>58555.000000000007</v>
      </c>
      <c r="J128" s="51">
        <f t="shared" si="8"/>
        <v>260382.5</v>
      </c>
      <c r="K128" s="77">
        <f t="shared" si="9"/>
        <v>1459.2241606375287</v>
      </c>
      <c r="AC128" s="94" t="s">
        <v>627</v>
      </c>
    </row>
    <row r="129" spans="1:29" ht="15" customHeight="1" x14ac:dyDescent="0.25">
      <c r="A129" s="74" t="str">
        <f>Unidades!A122</f>
        <v>D-050</v>
      </c>
      <c r="B129" s="75" t="str">
        <f>Unidades!B122</f>
        <v>T4</v>
      </c>
      <c r="C129" s="75" t="str">
        <f>Unidades!C122</f>
        <v>Fase 3</v>
      </c>
      <c r="D129" s="76">
        <f>Unidades!H122</f>
        <v>94.789000000000001</v>
      </c>
      <c r="E129" s="76">
        <f>Unidades!I122</f>
        <v>83.65</v>
      </c>
      <c r="F129" s="50">
        <v>643.52</v>
      </c>
      <c r="G129" s="72">
        <f t="shared" si="5"/>
        <v>19305.599999999999</v>
      </c>
      <c r="H129" s="72">
        <f t="shared" si="6"/>
        <v>180099.1</v>
      </c>
      <c r="I129" s="72">
        <f t="shared" si="7"/>
        <v>58555.000000000007</v>
      </c>
      <c r="J129" s="51">
        <f t="shared" si="8"/>
        <v>257959.7</v>
      </c>
      <c r="K129" s="77">
        <f t="shared" si="9"/>
        <v>1445.6464113786783</v>
      </c>
      <c r="AC129" s="94" t="s">
        <v>622</v>
      </c>
    </row>
    <row r="130" spans="1:29" ht="15" customHeight="1" x14ac:dyDescent="0.25">
      <c r="A130" s="74" t="str">
        <f>Unidades!A123</f>
        <v>D-051</v>
      </c>
      <c r="B130" s="75" t="str">
        <f>Unidades!B123</f>
        <v>T4</v>
      </c>
      <c r="C130" s="75" t="str">
        <f>Unidades!C123</f>
        <v>Fase 3</v>
      </c>
      <c r="D130" s="76">
        <f>Unidades!H123</f>
        <v>94.789000000000001</v>
      </c>
      <c r="E130" s="76">
        <f>Unidades!I123</f>
        <v>83.65</v>
      </c>
      <c r="F130" s="50">
        <v>609.52</v>
      </c>
      <c r="G130" s="72">
        <f t="shared" si="5"/>
        <v>18285.599999999999</v>
      </c>
      <c r="H130" s="72">
        <f t="shared" si="6"/>
        <v>180099.1</v>
      </c>
      <c r="I130" s="72">
        <f t="shared" si="7"/>
        <v>58555.000000000007</v>
      </c>
      <c r="J130" s="51">
        <f t="shared" si="8"/>
        <v>256939.7</v>
      </c>
      <c r="K130" s="77">
        <f t="shared" si="9"/>
        <v>1439.9301722157152</v>
      </c>
      <c r="AC130" s="94" t="s">
        <v>622</v>
      </c>
    </row>
    <row r="131" spans="1:29" ht="15" customHeight="1" x14ac:dyDescent="0.25">
      <c r="A131" s="74" t="str">
        <f>Unidades!A124</f>
        <v>D-052</v>
      </c>
      <c r="B131" s="75" t="str">
        <f>Unidades!B124</f>
        <v>T4</v>
      </c>
      <c r="C131" s="75" t="str">
        <f>Unidades!C124</f>
        <v>Fase 3</v>
      </c>
      <c r="D131" s="76">
        <f>Unidades!H124</f>
        <v>94.789000000000001</v>
      </c>
      <c r="E131" s="76">
        <f>Unidades!I124</f>
        <v>83.65</v>
      </c>
      <c r="F131" s="50">
        <v>762.03</v>
      </c>
      <c r="G131" s="72">
        <f t="shared" si="5"/>
        <v>22860.899999999998</v>
      </c>
      <c r="H131" s="72">
        <f t="shared" si="6"/>
        <v>180099.1</v>
      </c>
      <c r="I131" s="72">
        <f t="shared" si="7"/>
        <v>58555.000000000007</v>
      </c>
      <c r="J131" s="51">
        <f t="shared" si="8"/>
        <v>261515</v>
      </c>
      <c r="K131" s="77">
        <f t="shared" si="9"/>
        <v>1465.5708673552306</v>
      </c>
      <c r="AC131" s="94" t="s">
        <v>627</v>
      </c>
    </row>
    <row r="132" spans="1:29" ht="15" customHeight="1" x14ac:dyDescent="0.25">
      <c r="A132" s="74" t="str">
        <f>Unidades!A125</f>
        <v>D-053</v>
      </c>
      <c r="B132" s="75" t="str">
        <f>Unidades!B125</f>
        <v>T4</v>
      </c>
      <c r="C132" s="75" t="str">
        <f>Unidades!C125</f>
        <v>Fase 3</v>
      </c>
      <c r="D132" s="76">
        <f>Unidades!H125</f>
        <v>94.789000000000001</v>
      </c>
      <c r="E132" s="76">
        <f>Unidades!I125</f>
        <v>83.65</v>
      </c>
      <c r="F132" s="50">
        <v>671.04</v>
      </c>
      <c r="G132" s="72">
        <f t="shared" si="5"/>
        <v>20131.199999999997</v>
      </c>
      <c r="H132" s="72">
        <f t="shared" si="6"/>
        <v>180099.1</v>
      </c>
      <c r="I132" s="72">
        <f t="shared" si="7"/>
        <v>58555.000000000007</v>
      </c>
      <c r="J132" s="51">
        <f t="shared" si="8"/>
        <v>258785.3</v>
      </c>
      <c r="K132" s="77">
        <f t="shared" si="9"/>
        <v>1450.2732026070532</v>
      </c>
      <c r="AC132" s="94" t="s">
        <v>622</v>
      </c>
    </row>
    <row r="133" spans="1:29" ht="15" customHeight="1" x14ac:dyDescent="0.25">
      <c r="A133" s="74" t="str">
        <f>Unidades!A126</f>
        <v>D-054</v>
      </c>
      <c r="B133" s="75" t="str">
        <f>Unidades!B126</f>
        <v>T4</v>
      </c>
      <c r="C133" s="75" t="str">
        <f>Unidades!C126</f>
        <v>Fase 3</v>
      </c>
      <c r="D133" s="76">
        <f>Unidades!H126</f>
        <v>94.789000000000001</v>
      </c>
      <c r="E133" s="76">
        <f>Unidades!I126</f>
        <v>83.65</v>
      </c>
      <c r="F133" s="50">
        <v>1289.47</v>
      </c>
      <c r="G133" s="72">
        <f t="shared" si="5"/>
        <v>38684.1</v>
      </c>
      <c r="H133" s="72">
        <f t="shared" si="6"/>
        <v>180099.1</v>
      </c>
      <c r="I133" s="72">
        <f t="shared" si="7"/>
        <v>58555.000000000007</v>
      </c>
      <c r="J133" s="51">
        <f t="shared" si="8"/>
        <v>277338.2</v>
      </c>
      <c r="K133" s="77">
        <f t="shared" si="9"/>
        <v>1554.2465492409169</v>
      </c>
      <c r="AC133" s="94" t="s">
        <v>622</v>
      </c>
    </row>
    <row r="134" spans="1:29" ht="15" customHeight="1" x14ac:dyDescent="0.25">
      <c r="A134" s="74" t="str">
        <f>Unidades!A127</f>
        <v>D-055</v>
      </c>
      <c r="B134" s="75" t="str">
        <f>Unidades!B127</f>
        <v>T4</v>
      </c>
      <c r="C134" s="75" t="str">
        <f>Unidades!C127</f>
        <v>Fase 2</v>
      </c>
      <c r="D134" s="76">
        <f>Unidades!H127</f>
        <v>94.789000000000001</v>
      </c>
      <c r="E134" s="76">
        <f>Unidades!I127</f>
        <v>83.65</v>
      </c>
      <c r="F134" s="50">
        <v>739.28</v>
      </c>
      <c r="G134" s="72">
        <f t="shared" si="5"/>
        <v>22178.399999999998</v>
      </c>
      <c r="H134" s="72">
        <f t="shared" si="6"/>
        <v>180099.1</v>
      </c>
      <c r="I134" s="72">
        <f t="shared" si="7"/>
        <v>58555.000000000007</v>
      </c>
      <c r="J134" s="51">
        <f t="shared" si="8"/>
        <v>260832.5</v>
      </c>
      <c r="K134" s="77">
        <f t="shared" si="9"/>
        <v>1461.746030856483</v>
      </c>
      <c r="AC134" s="94" t="s">
        <v>622</v>
      </c>
    </row>
    <row r="135" spans="1:29" ht="15" customHeight="1" x14ac:dyDescent="0.25">
      <c r="A135" s="74" t="str">
        <f>Unidades!A128</f>
        <v>D-056</v>
      </c>
      <c r="B135" s="75" t="str">
        <f>Unidades!B128</f>
        <v>T4</v>
      </c>
      <c r="C135" s="75" t="str">
        <f>Unidades!C128</f>
        <v>Fase 2</v>
      </c>
      <c r="D135" s="76">
        <f>Unidades!H128</f>
        <v>94.789000000000001</v>
      </c>
      <c r="E135" s="76">
        <f>Unidades!I128</f>
        <v>83.65</v>
      </c>
      <c r="F135" s="50">
        <v>831.24</v>
      </c>
      <c r="G135" s="72">
        <f t="shared" si="5"/>
        <v>24937.200000000001</v>
      </c>
      <c r="H135" s="72">
        <f t="shared" si="6"/>
        <v>180099.1</v>
      </c>
      <c r="I135" s="72">
        <f t="shared" si="7"/>
        <v>58555.000000000007</v>
      </c>
      <c r="J135" s="51">
        <f t="shared" si="8"/>
        <v>263591.30000000005</v>
      </c>
      <c r="K135" s="77">
        <f t="shared" si="9"/>
        <v>1477.2067765454863</v>
      </c>
      <c r="AC135" s="94" t="s">
        <v>622</v>
      </c>
    </row>
    <row r="136" spans="1:29" ht="15" customHeight="1" x14ac:dyDescent="0.25">
      <c r="A136" s="74" t="str">
        <f>Unidades!A129</f>
        <v>D-057</v>
      </c>
      <c r="B136" s="75" t="str">
        <f>Unidades!B129</f>
        <v>T4</v>
      </c>
      <c r="C136" s="75" t="str">
        <f>Unidades!C129</f>
        <v>Fase 2</v>
      </c>
      <c r="D136" s="76">
        <f>Unidades!H129</f>
        <v>94.789000000000001</v>
      </c>
      <c r="E136" s="76">
        <f>Unidades!I129</f>
        <v>83.65</v>
      </c>
      <c r="F136" s="50">
        <v>804.93</v>
      </c>
      <c r="G136" s="72">
        <f t="shared" si="5"/>
        <v>24147.899999999998</v>
      </c>
      <c r="H136" s="72">
        <f t="shared" si="6"/>
        <v>180099.1</v>
      </c>
      <c r="I136" s="72">
        <f t="shared" si="7"/>
        <v>58555.000000000007</v>
      </c>
      <c r="J136" s="51">
        <f t="shared" si="8"/>
        <v>262802</v>
      </c>
      <c r="K136" s="77">
        <f t="shared" si="9"/>
        <v>1472.7834161814401</v>
      </c>
      <c r="AC136" s="94" t="s">
        <v>622</v>
      </c>
    </row>
    <row r="137" spans="1:29" ht="15" customHeight="1" x14ac:dyDescent="0.25">
      <c r="A137" s="74" t="str">
        <f>Unidades!A130</f>
        <v>D-058</v>
      </c>
      <c r="B137" s="75" t="str">
        <f>Unidades!B130</f>
        <v>T4</v>
      </c>
      <c r="C137" s="75" t="str">
        <f>Unidades!C130</f>
        <v>Fase 2</v>
      </c>
      <c r="D137" s="76">
        <f>Unidades!H130</f>
        <v>94.789000000000001</v>
      </c>
      <c r="E137" s="76">
        <f>Unidades!I130</f>
        <v>83.65</v>
      </c>
      <c r="F137" s="50">
        <v>870.24</v>
      </c>
      <c r="G137" s="72">
        <f t="shared" si="5"/>
        <v>26107.200000000001</v>
      </c>
      <c r="H137" s="72">
        <f t="shared" si="6"/>
        <v>180099.1</v>
      </c>
      <c r="I137" s="72">
        <f t="shared" si="7"/>
        <v>58555.000000000007</v>
      </c>
      <c r="J137" s="51">
        <f t="shared" si="8"/>
        <v>264761.30000000005</v>
      </c>
      <c r="K137" s="77">
        <f t="shared" si="9"/>
        <v>1483.7636391147676</v>
      </c>
      <c r="AC137" s="94" t="s">
        <v>616</v>
      </c>
    </row>
    <row r="138" spans="1:29" ht="15" customHeight="1" x14ac:dyDescent="0.25">
      <c r="A138" s="74" t="str">
        <f>Unidades!A131</f>
        <v>D-059</v>
      </c>
      <c r="B138" s="75" t="str">
        <f>Unidades!B131</f>
        <v>T4</v>
      </c>
      <c r="C138" s="75" t="str">
        <f>Unidades!C131</f>
        <v>Fase 2</v>
      </c>
      <c r="D138" s="76">
        <f>Unidades!H131</f>
        <v>94.789000000000001</v>
      </c>
      <c r="E138" s="76">
        <f>Unidades!I131</f>
        <v>83.65</v>
      </c>
      <c r="F138" s="50">
        <v>938.92</v>
      </c>
      <c r="G138" s="72">
        <f t="shared" ref="G138:G201" si="10">F138*$B$5</f>
        <v>28167.599999999999</v>
      </c>
      <c r="H138" s="72">
        <f t="shared" ref="H138:H201" si="11">D138*$B$6</f>
        <v>180099.1</v>
      </c>
      <c r="I138" s="72">
        <f t="shared" ref="I138:I201" si="12">E138*$B$7</f>
        <v>58555.000000000007</v>
      </c>
      <c r="J138" s="51">
        <f t="shared" ref="J138:J201" si="13">G138+H138+I138</f>
        <v>266821.7</v>
      </c>
      <c r="K138" s="77">
        <f t="shared" ref="K138:K201" si="14">IFERROR(J138/(D138+E138),"")</f>
        <v>1495.3104422239533</v>
      </c>
      <c r="AC138" s="94" t="s">
        <v>627</v>
      </c>
    </row>
    <row r="139" spans="1:29" ht="15" customHeight="1" x14ac:dyDescent="0.25">
      <c r="A139" s="74" t="str">
        <f>Unidades!A132</f>
        <v>D-060</v>
      </c>
      <c r="B139" s="75" t="str">
        <f>Unidades!B132</f>
        <v>T4</v>
      </c>
      <c r="C139" s="75" t="str">
        <f>Unidades!C132</f>
        <v>Fase 2</v>
      </c>
      <c r="D139" s="76">
        <f>Unidades!H132</f>
        <v>94.789000000000001</v>
      </c>
      <c r="E139" s="76">
        <f>Unidades!I132</f>
        <v>83.65</v>
      </c>
      <c r="F139" s="50">
        <v>731.57</v>
      </c>
      <c r="G139" s="72">
        <f t="shared" si="10"/>
        <v>21947.100000000002</v>
      </c>
      <c r="H139" s="72">
        <f t="shared" si="11"/>
        <v>180099.1</v>
      </c>
      <c r="I139" s="72">
        <f t="shared" si="12"/>
        <v>58555.000000000007</v>
      </c>
      <c r="J139" s="51">
        <f t="shared" si="13"/>
        <v>260601.2</v>
      </c>
      <c r="K139" s="77">
        <f t="shared" si="14"/>
        <v>1460.4497895639406</v>
      </c>
      <c r="AC139" s="94" t="s">
        <v>616</v>
      </c>
    </row>
    <row r="140" spans="1:29" ht="15" customHeight="1" x14ac:dyDescent="0.25">
      <c r="A140" s="74" t="str">
        <f>Unidades!A133</f>
        <v>D-061</v>
      </c>
      <c r="B140" s="75" t="str">
        <f>Unidades!B133</f>
        <v>T4</v>
      </c>
      <c r="C140" s="75" t="str">
        <f>Unidades!C133</f>
        <v>Fase 2</v>
      </c>
      <c r="D140" s="76">
        <f>Unidades!H133</f>
        <v>94.789000000000001</v>
      </c>
      <c r="E140" s="76">
        <f>Unidades!I133</f>
        <v>83.65</v>
      </c>
      <c r="F140" s="50">
        <v>1222.1600000000001</v>
      </c>
      <c r="G140" s="72">
        <f t="shared" si="10"/>
        <v>36664.800000000003</v>
      </c>
      <c r="H140" s="72">
        <f t="shared" si="11"/>
        <v>180099.1</v>
      </c>
      <c r="I140" s="72">
        <f t="shared" si="12"/>
        <v>58555.000000000007</v>
      </c>
      <c r="J140" s="51">
        <f t="shared" si="13"/>
        <v>275318.90000000002</v>
      </c>
      <c r="K140" s="77">
        <f t="shared" si="14"/>
        <v>1542.9300769450624</v>
      </c>
      <c r="AC140" s="94" t="s">
        <v>627</v>
      </c>
    </row>
    <row r="141" spans="1:29" ht="15" customHeight="1" x14ac:dyDescent="0.25">
      <c r="A141" s="74" t="str">
        <f>Unidades!A134</f>
        <v>D-062</v>
      </c>
      <c r="B141" s="75" t="str">
        <f>Unidades!B134</f>
        <v>T4</v>
      </c>
      <c r="C141" s="75" t="str">
        <f>Unidades!C134</f>
        <v>Fase 2</v>
      </c>
      <c r="D141" s="76">
        <f>Unidades!H134</f>
        <v>94.789000000000001</v>
      </c>
      <c r="E141" s="76">
        <f>Unidades!I134</f>
        <v>83.65</v>
      </c>
      <c r="F141" s="50">
        <v>810.64</v>
      </c>
      <c r="G141" s="72">
        <f t="shared" si="10"/>
        <v>24319.200000000001</v>
      </c>
      <c r="H141" s="72">
        <f t="shared" si="11"/>
        <v>180099.1</v>
      </c>
      <c r="I141" s="72">
        <f t="shared" si="12"/>
        <v>58555.000000000007</v>
      </c>
      <c r="J141" s="51">
        <f t="shared" si="13"/>
        <v>262973.30000000005</v>
      </c>
      <c r="K141" s="77">
        <f t="shared" si="14"/>
        <v>1473.7434081114554</v>
      </c>
      <c r="AC141" s="94" t="s">
        <v>622</v>
      </c>
    </row>
    <row r="142" spans="1:29" ht="15" customHeight="1" x14ac:dyDescent="0.25">
      <c r="A142" s="74" t="str">
        <f>Unidades!A135</f>
        <v>D-063</v>
      </c>
      <c r="B142" s="75" t="str">
        <f>Unidades!B135</f>
        <v>T4</v>
      </c>
      <c r="C142" s="75" t="str">
        <f>Unidades!C135</f>
        <v>Fase 2</v>
      </c>
      <c r="D142" s="76">
        <f>Unidades!H135</f>
        <v>94.789000000000001</v>
      </c>
      <c r="E142" s="76">
        <f>Unidades!I135</f>
        <v>83.65</v>
      </c>
      <c r="F142" s="50">
        <v>1217.45</v>
      </c>
      <c r="G142" s="72">
        <f t="shared" si="10"/>
        <v>36523.5</v>
      </c>
      <c r="H142" s="72">
        <f t="shared" si="11"/>
        <v>180099.1</v>
      </c>
      <c r="I142" s="72">
        <f t="shared" si="12"/>
        <v>58555.000000000007</v>
      </c>
      <c r="J142" s="51">
        <f t="shared" si="13"/>
        <v>275177.60000000003</v>
      </c>
      <c r="K142" s="77">
        <f t="shared" si="14"/>
        <v>1542.1382096963107</v>
      </c>
      <c r="AC142" s="94" t="s">
        <v>616</v>
      </c>
    </row>
    <row r="143" spans="1:29" ht="15" customHeight="1" x14ac:dyDescent="0.25">
      <c r="A143" s="74" t="str">
        <f>Unidades!A136</f>
        <v>D-064</v>
      </c>
      <c r="B143" s="75" t="str">
        <f>Unidades!B136</f>
        <v>T4</v>
      </c>
      <c r="C143" s="75" t="str">
        <f>Unidades!C136</f>
        <v>Fase 2</v>
      </c>
      <c r="D143" s="76">
        <f>Unidades!H136</f>
        <v>94.789000000000001</v>
      </c>
      <c r="E143" s="76">
        <f>Unidades!I136</f>
        <v>83.65</v>
      </c>
      <c r="F143" s="50">
        <v>1047.58</v>
      </c>
      <c r="G143" s="72">
        <f t="shared" si="10"/>
        <v>31427.399999999998</v>
      </c>
      <c r="H143" s="72">
        <f t="shared" si="11"/>
        <v>180099.1</v>
      </c>
      <c r="I143" s="72">
        <f t="shared" si="12"/>
        <v>58555.000000000007</v>
      </c>
      <c r="J143" s="51">
        <f t="shared" si="13"/>
        <v>270081.5</v>
      </c>
      <c r="K143" s="77">
        <f t="shared" si="14"/>
        <v>1513.5788700900587</v>
      </c>
      <c r="AC143" s="94" t="s">
        <v>622</v>
      </c>
    </row>
    <row r="144" spans="1:29" ht="15" customHeight="1" x14ac:dyDescent="0.25">
      <c r="A144" s="74" t="str">
        <f>Unidades!A137</f>
        <v>D-065</v>
      </c>
      <c r="B144" s="75" t="str">
        <f>Unidades!B137</f>
        <v>T4</v>
      </c>
      <c r="C144" s="75" t="str">
        <f>Unidades!C137</f>
        <v>Fase 2</v>
      </c>
      <c r="D144" s="76">
        <f>Unidades!H137</f>
        <v>94.789000000000001</v>
      </c>
      <c r="E144" s="76">
        <f>Unidades!I137</f>
        <v>83.65</v>
      </c>
      <c r="F144" s="50">
        <v>1024.05</v>
      </c>
      <c r="G144" s="72">
        <f t="shared" si="10"/>
        <v>30721.5</v>
      </c>
      <c r="H144" s="72">
        <f t="shared" si="11"/>
        <v>180099.1</v>
      </c>
      <c r="I144" s="72">
        <f t="shared" si="12"/>
        <v>58555.000000000007</v>
      </c>
      <c r="J144" s="51">
        <f t="shared" si="13"/>
        <v>269375.60000000003</v>
      </c>
      <c r="K144" s="77">
        <f t="shared" si="14"/>
        <v>1509.6228963399258</v>
      </c>
      <c r="AC144" s="94" t="s">
        <v>627</v>
      </c>
    </row>
    <row r="145" spans="1:29" ht="15" customHeight="1" x14ac:dyDescent="0.25">
      <c r="A145" s="74" t="str">
        <f>Unidades!A138</f>
        <v>D-066</v>
      </c>
      <c r="B145" s="75" t="str">
        <f>Unidades!B138</f>
        <v>T4</v>
      </c>
      <c r="C145" s="75" t="str">
        <f>Unidades!C138</f>
        <v>Fase 2</v>
      </c>
      <c r="D145" s="76">
        <f>Unidades!H138</f>
        <v>94.789000000000001</v>
      </c>
      <c r="E145" s="76">
        <f>Unidades!I138</f>
        <v>83.65</v>
      </c>
      <c r="F145" s="50">
        <v>1305.94</v>
      </c>
      <c r="G145" s="72">
        <f t="shared" si="10"/>
        <v>39178.200000000004</v>
      </c>
      <c r="H145" s="72">
        <f t="shared" si="11"/>
        <v>180099.1</v>
      </c>
      <c r="I145" s="72">
        <f t="shared" si="12"/>
        <v>58555.000000000007</v>
      </c>
      <c r="J145" s="51">
        <f t="shared" si="13"/>
        <v>277832.30000000005</v>
      </c>
      <c r="K145" s="77">
        <f t="shared" si="14"/>
        <v>1557.0155627413289</v>
      </c>
      <c r="AC145" s="94" t="s">
        <v>622</v>
      </c>
    </row>
    <row r="146" spans="1:29" ht="15" customHeight="1" x14ac:dyDescent="0.25">
      <c r="A146" s="74" t="str">
        <f>Unidades!A139</f>
        <v>D-067</v>
      </c>
      <c r="B146" s="75" t="str">
        <f>Unidades!B139</f>
        <v>T4</v>
      </c>
      <c r="C146" s="75" t="str">
        <f>Unidades!C139</f>
        <v>Fase 2</v>
      </c>
      <c r="D146" s="76">
        <f>Unidades!H139</f>
        <v>94.789000000000001</v>
      </c>
      <c r="E146" s="76">
        <f>Unidades!I139</f>
        <v>83.65</v>
      </c>
      <c r="F146" s="50">
        <v>1329.16</v>
      </c>
      <c r="G146" s="72">
        <f t="shared" si="10"/>
        <v>39874.800000000003</v>
      </c>
      <c r="H146" s="72">
        <f t="shared" si="11"/>
        <v>180099.1</v>
      </c>
      <c r="I146" s="72">
        <f t="shared" si="12"/>
        <v>58555.000000000007</v>
      </c>
      <c r="J146" s="51">
        <f t="shared" si="13"/>
        <v>278528.90000000002</v>
      </c>
      <c r="K146" s="77">
        <f t="shared" si="14"/>
        <v>1560.9194178402704</v>
      </c>
      <c r="AC146" s="94" t="s">
        <v>622</v>
      </c>
    </row>
    <row r="147" spans="1:29" ht="15" customHeight="1" x14ac:dyDescent="0.25">
      <c r="A147" s="74" t="str">
        <f>Unidades!A140</f>
        <v>D-068</v>
      </c>
      <c r="B147" s="75" t="str">
        <f>Unidades!B140</f>
        <v>T4</v>
      </c>
      <c r="C147" s="75" t="str">
        <f>Unidades!C140</f>
        <v>Fase 2</v>
      </c>
      <c r="D147" s="76">
        <f>Unidades!H140</f>
        <v>94.789000000000001</v>
      </c>
      <c r="E147" s="76">
        <f>Unidades!I140</f>
        <v>83.65</v>
      </c>
      <c r="F147" s="50">
        <v>921.61</v>
      </c>
      <c r="G147" s="72">
        <f t="shared" si="10"/>
        <v>27648.3</v>
      </c>
      <c r="H147" s="72">
        <f t="shared" si="11"/>
        <v>180099.1</v>
      </c>
      <c r="I147" s="72">
        <f t="shared" si="12"/>
        <v>58555.000000000007</v>
      </c>
      <c r="J147" s="51">
        <f t="shared" si="13"/>
        <v>266302.40000000002</v>
      </c>
      <c r="K147" s="77">
        <f t="shared" si="14"/>
        <v>1492.4002039912798</v>
      </c>
      <c r="AC147" s="94" t="s">
        <v>622</v>
      </c>
    </row>
    <row r="148" spans="1:29" ht="15" customHeight="1" x14ac:dyDescent="0.25">
      <c r="A148" s="74" t="str">
        <f>Unidades!A141</f>
        <v>D-069</v>
      </c>
      <c r="B148" s="75" t="str">
        <f>Unidades!B141</f>
        <v>T4</v>
      </c>
      <c r="C148" s="75" t="str">
        <f>Unidades!C141</f>
        <v>Fase 2</v>
      </c>
      <c r="D148" s="76">
        <f>Unidades!H141</f>
        <v>94.789000000000001</v>
      </c>
      <c r="E148" s="76">
        <f>Unidades!I141</f>
        <v>83.65</v>
      </c>
      <c r="F148" s="50">
        <v>1124.3699999999999</v>
      </c>
      <c r="G148" s="72">
        <f t="shared" si="10"/>
        <v>33731.1</v>
      </c>
      <c r="H148" s="72">
        <f t="shared" si="11"/>
        <v>180099.1</v>
      </c>
      <c r="I148" s="72">
        <f t="shared" si="12"/>
        <v>58555.000000000007</v>
      </c>
      <c r="J148" s="51">
        <f t="shared" si="13"/>
        <v>272385.2</v>
      </c>
      <c r="K148" s="77">
        <f t="shared" si="14"/>
        <v>1526.4891643642925</v>
      </c>
      <c r="AC148" s="94" t="s">
        <v>622</v>
      </c>
    </row>
    <row r="149" spans="1:29" ht="15" customHeight="1" x14ac:dyDescent="0.25">
      <c r="A149" s="74" t="str">
        <f>Unidades!A142</f>
        <v>D-070</v>
      </c>
      <c r="B149" s="75" t="str">
        <f>Unidades!B142</f>
        <v>T4</v>
      </c>
      <c r="C149" s="75" t="str">
        <f>Unidades!C142</f>
        <v>Fase 2</v>
      </c>
      <c r="D149" s="76">
        <f>Unidades!H142</f>
        <v>94.789000000000001</v>
      </c>
      <c r="E149" s="76">
        <f>Unidades!I142</f>
        <v>83.65</v>
      </c>
      <c r="F149" s="50">
        <v>848.1</v>
      </c>
      <c r="G149" s="72">
        <f t="shared" si="10"/>
        <v>25443</v>
      </c>
      <c r="H149" s="72">
        <f t="shared" si="11"/>
        <v>180099.1</v>
      </c>
      <c r="I149" s="72">
        <f t="shared" si="12"/>
        <v>58555.000000000007</v>
      </c>
      <c r="J149" s="51">
        <f t="shared" si="13"/>
        <v>264097.10000000003</v>
      </c>
      <c r="K149" s="77">
        <f t="shared" si="14"/>
        <v>1480.0413586715908</v>
      </c>
      <c r="AC149" s="94" t="s">
        <v>627</v>
      </c>
    </row>
    <row r="150" spans="1:29" ht="15" customHeight="1" x14ac:dyDescent="0.25">
      <c r="A150" s="74" t="str">
        <f>Unidades!A143</f>
        <v>D-071</v>
      </c>
      <c r="B150" s="75" t="str">
        <f>Unidades!B143</f>
        <v>T4</v>
      </c>
      <c r="C150" s="75" t="str">
        <f>Unidades!C143</f>
        <v>Fase 2</v>
      </c>
      <c r="D150" s="76">
        <f>Unidades!H143</f>
        <v>94.789000000000001</v>
      </c>
      <c r="E150" s="76">
        <f>Unidades!I143</f>
        <v>83.65</v>
      </c>
      <c r="F150" s="50">
        <v>1354.81</v>
      </c>
      <c r="G150" s="72">
        <f t="shared" si="10"/>
        <v>40644.299999999996</v>
      </c>
      <c r="H150" s="72">
        <f t="shared" si="11"/>
        <v>180099.1</v>
      </c>
      <c r="I150" s="72">
        <f t="shared" si="12"/>
        <v>58555.000000000007</v>
      </c>
      <c r="J150" s="51">
        <f t="shared" si="13"/>
        <v>279298.40000000002</v>
      </c>
      <c r="K150" s="77">
        <f t="shared" si="14"/>
        <v>1565.2318159146823</v>
      </c>
      <c r="AC150" s="94" t="s">
        <v>616</v>
      </c>
    </row>
    <row r="151" spans="1:29" ht="15" customHeight="1" x14ac:dyDescent="0.25">
      <c r="A151" s="74" t="str">
        <f>Unidades!A144</f>
        <v>D-072</v>
      </c>
      <c r="B151" s="75" t="str">
        <f>Unidades!B144</f>
        <v>T4</v>
      </c>
      <c r="C151" s="75" t="str">
        <f>Unidades!C144</f>
        <v>Fase 2</v>
      </c>
      <c r="D151" s="76">
        <f>Unidades!H144</f>
        <v>94.789000000000001</v>
      </c>
      <c r="E151" s="76">
        <f>Unidades!I144</f>
        <v>83.65</v>
      </c>
      <c r="F151" s="50">
        <v>990.91</v>
      </c>
      <c r="G151" s="72">
        <f t="shared" si="10"/>
        <v>29727.3</v>
      </c>
      <c r="H151" s="72">
        <f t="shared" si="11"/>
        <v>180099.1</v>
      </c>
      <c r="I151" s="72">
        <f t="shared" si="12"/>
        <v>58555.000000000007</v>
      </c>
      <c r="J151" s="51">
        <f t="shared" si="13"/>
        <v>268381.40000000002</v>
      </c>
      <c r="K151" s="77">
        <f t="shared" si="14"/>
        <v>1504.0512444028491</v>
      </c>
      <c r="AC151" s="94" t="s">
        <v>622</v>
      </c>
    </row>
    <row r="152" spans="1:29" ht="15" customHeight="1" x14ac:dyDescent="0.25">
      <c r="A152" s="74" t="str">
        <f>Unidades!A145</f>
        <v>D-073</v>
      </c>
      <c r="B152" s="75" t="str">
        <f>Unidades!B145</f>
        <v>T4</v>
      </c>
      <c r="C152" s="75" t="str">
        <f>Unidades!C145</f>
        <v>Fase 2</v>
      </c>
      <c r="D152" s="76">
        <f>Unidades!H145</f>
        <v>94.789000000000001</v>
      </c>
      <c r="E152" s="76">
        <f>Unidades!I145</f>
        <v>83.65</v>
      </c>
      <c r="F152" s="50">
        <v>999.81</v>
      </c>
      <c r="G152" s="72">
        <f t="shared" si="10"/>
        <v>29994.3</v>
      </c>
      <c r="H152" s="72">
        <f t="shared" si="11"/>
        <v>180099.1</v>
      </c>
      <c r="I152" s="72">
        <f t="shared" si="12"/>
        <v>58555.000000000007</v>
      </c>
      <c r="J152" s="51">
        <f t="shared" si="13"/>
        <v>268648.40000000002</v>
      </c>
      <c r="K152" s="77">
        <f t="shared" si="14"/>
        <v>1505.5475540660955</v>
      </c>
      <c r="AC152" s="94" t="s">
        <v>616</v>
      </c>
    </row>
    <row r="153" spans="1:29" ht="15" customHeight="1" x14ac:dyDescent="0.25">
      <c r="A153" s="74" t="str">
        <f>Unidades!A146</f>
        <v>D-074</v>
      </c>
      <c r="B153" s="75" t="str">
        <f>Unidades!B146</f>
        <v>T4</v>
      </c>
      <c r="C153" s="75" t="str">
        <f>Unidades!C146</f>
        <v>Fase 2</v>
      </c>
      <c r="D153" s="76">
        <f>Unidades!H146</f>
        <v>94.789000000000001</v>
      </c>
      <c r="E153" s="76">
        <f>Unidades!I146</f>
        <v>83.65</v>
      </c>
      <c r="F153" s="50">
        <v>772.56</v>
      </c>
      <c r="G153" s="72">
        <f t="shared" si="10"/>
        <v>23176.799999999999</v>
      </c>
      <c r="H153" s="72">
        <f t="shared" si="11"/>
        <v>180099.1</v>
      </c>
      <c r="I153" s="72">
        <f t="shared" si="12"/>
        <v>58555.000000000007</v>
      </c>
      <c r="J153" s="51">
        <f t="shared" si="13"/>
        <v>261830.9</v>
      </c>
      <c r="K153" s="77">
        <f t="shared" si="14"/>
        <v>1467.3412202489365</v>
      </c>
      <c r="AC153" s="94" t="s">
        <v>622</v>
      </c>
    </row>
    <row r="154" spans="1:29" ht="15" customHeight="1" x14ac:dyDescent="0.25">
      <c r="A154" s="74" t="str">
        <f>Unidades!A147</f>
        <v>D-075</v>
      </c>
      <c r="B154" s="75" t="str">
        <f>Unidades!B147</f>
        <v>T4</v>
      </c>
      <c r="C154" s="75" t="str">
        <f>Unidades!C147</f>
        <v>Fase 2</v>
      </c>
      <c r="D154" s="76">
        <f>Unidades!H147</f>
        <v>94.789000000000001</v>
      </c>
      <c r="E154" s="76">
        <f>Unidades!I147</f>
        <v>83.65</v>
      </c>
      <c r="F154" s="50">
        <v>727.66</v>
      </c>
      <c r="G154" s="72">
        <f t="shared" si="10"/>
        <v>21829.8</v>
      </c>
      <c r="H154" s="72">
        <f t="shared" si="11"/>
        <v>180099.1</v>
      </c>
      <c r="I154" s="72">
        <f t="shared" si="12"/>
        <v>58555.000000000007</v>
      </c>
      <c r="J154" s="51">
        <f t="shared" si="13"/>
        <v>260483.9</v>
      </c>
      <c r="K154" s="77">
        <f t="shared" si="14"/>
        <v>1459.7924220601997</v>
      </c>
      <c r="AC154" s="94" t="s">
        <v>622</v>
      </c>
    </row>
    <row r="155" spans="1:29" ht="15" customHeight="1" x14ac:dyDescent="0.25">
      <c r="A155" s="74" t="str">
        <f>Unidades!A148</f>
        <v>D-076</v>
      </c>
      <c r="B155" s="75" t="str">
        <f>Unidades!B148</f>
        <v>T4</v>
      </c>
      <c r="C155" s="75" t="str">
        <f>Unidades!C148</f>
        <v>Fase 2</v>
      </c>
      <c r="D155" s="76">
        <f>Unidades!H148</f>
        <v>94.789000000000001</v>
      </c>
      <c r="E155" s="76">
        <f>Unidades!I148</f>
        <v>83.65</v>
      </c>
      <c r="F155" s="50">
        <v>839.45</v>
      </c>
      <c r="G155" s="72">
        <f t="shared" si="10"/>
        <v>25183.5</v>
      </c>
      <c r="H155" s="72">
        <f t="shared" si="11"/>
        <v>180099.1</v>
      </c>
      <c r="I155" s="72">
        <f t="shared" si="12"/>
        <v>58555.000000000007</v>
      </c>
      <c r="J155" s="51">
        <f t="shared" si="13"/>
        <v>263837.60000000003</v>
      </c>
      <c r="K155" s="77">
        <f t="shared" si="14"/>
        <v>1478.5870801786605</v>
      </c>
      <c r="AC155" s="94" t="s">
        <v>622</v>
      </c>
    </row>
    <row r="156" spans="1:29" ht="15" customHeight="1" x14ac:dyDescent="0.25">
      <c r="A156" s="74" t="str">
        <f>Unidades!A149</f>
        <v>D-077</v>
      </c>
      <c r="B156" s="75" t="str">
        <f>Unidades!B149</f>
        <v>T4</v>
      </c>
      <c r="C156" s="75" t="str">
        <f>Unidades!C149</f>
        <v>Fase 2</v>
      </c>
      <c r="D156" s="76">
        <f>Unidades!H149</f>
        <v>94.789000000000001</v>
      </c>
      <c r="E156" s="76">
        <f>Unidades!I149</f>
        <v>83.65</v>
      </c>
      <c r="F156" s="50">
        <v>693.48</v>
      </c>
      <c r="G156" s="72">
        <f t="shared" si="10"/>
        <v>20804.400000000001</v>
      </c>
      <c r="H156" s="72">
        <f t="shared" si="11"/>
        <v>180099.1</v>
      </c>
      <c r="I156" s="72">
        <f t="shared" si="12"/>
        <v>58555.000000000007</v>
      </c>
      <c r="J156" s="51">
        <f t="shared" si="13"/>
        <v>259458.5</v>
      </c>
      <c r="K156" s="77">
        <f t="shared" si="14"/>
        <v>1454.0459204546089</v>
      </c>
      <c r="AC156" s="94" t="s">
        <v>622</v>
      </c>
    </row>
    <row r="157" spans="1:29" ht="15" customHeight="1" x14ac:dyDescent="0.25">
      <c r="A157" s="74" t="str">
        <f>Unidades!A150</f>
        <v>D-078</v>
      </c>
      <c r="B157" s="75" t="str">
        <f>Unidades!B150</f>
        <v>T4</v>
      </c>
      <c r="C157" s="75" t="str">
        <f>Unidades!C150</f>
        <v>Fase 2</v>
      </c>
      <c r="D157" s="76">
        <f>Unidades!H150</f>
        <v>94.789000000000001</v>
      </c>
      <c r="E157" s="76">
        <f>Unidades!I150</f>
        <v>83.65</v>
      </c>
      <c r="F157" s="50">
        <v>863.42</v>
      </c>
      <c r="G157" s="72">
        <f t="shared" si="10"/>
        <v>25902.6</v>
      </c>
      <c r="H157" s="72">
        <f t="shared" si="11"/>
        <v>180099.1</v>
      </c>
      <c r="I157" s="72">
        <f t="shared" si="12"/>
        <v>58555.000000000007</v>
      </c>
      <c r="J157" s="51">
        <f t="shared" si="13"/>
        <v>264556.7</v>
      </c>
      <c r="K157" s="77">
        <f t="shared" si="14"/>
        <v>1482.6170287885495</v>
      </c>
      <c r="AC157" s="94" t="s">
        <v>622</v>
      </c>
    </row>
    <row r="158" spans="1:29" ht="15" customHeight="1" x14ac:dyDescent="0.25">
      <c r="A158" s="74" t="str">
        <f>Unidades!A151</f>
        <v>D-079</v>
      </c>
      <c r="B158" s="75" t="str">
        <f>Unidades!B151</f>
        <v>T4</v>
      </c>
      <c r="C158" s="75" t="str">
        <f>Unidades!C151</f>
        <v>Fase 2</v>
      </c>
      <c r="D158" s="76">
        <f>Unidades!H151</f>
        <v>94.789000000000001</v>
      </c>
      <c r="E158" s="76">
        <f>Unidades!I151</f>
        <v>83.65</v>
      </c>
      <c r="F158" s="50">
        <v>1029.3699999999999</v>
      </c>
      <c r="G158" s="72">
        <f t="shared" si="10"/>
        <v>30881.1</v>
      </c>
      <c r="H158" s="72">
        <f t="shared" si="11"/>
        <v>180099.1</v>
      </c>
      <c r="I158" s="72">
        <f t="shared" si="12"/>
        <v>58555.000000000007</v>
      </c>
      <c r="J158" s="51">
        <f t="shared" si="13"/>
        <v>269535.2</v>
      </c>
      <c r="K158" s="77">
        <f t="shared" si="14"/>
        <v>1510.5173196442481</v>
      </c>
      <c r="AC158" s="94" t="s">
        <v>622</v>
      </c>
    </row>
    <row r="159" spans="1:29" ht="15" customHeight="1" x14ac:dyDescent="0.25">
      <c r="A159" s="74" t="str">
        <f>Unidades!A152</f>
        <v>D-080</v>
      </c>
      <c r="B159" s="75" t="str">
        <f>Unidades!B152</f>
        <v>T4</v>
      </c>
      <c r="C159" s="75" t="str">
        <f>Unidades!C152</f>
        <v>Fase 2</v>
      </c>
      <c r="D159" s="76">
        <f>Unidades!H152</f>
        <v>94.789000000000001</v>
      </c>
      <c r="E159" s="76">
        <f>Unidades!I152</f>
        <v>83.65</v>
      </c>
      <c r="F159" s="50">
        <v>716.35</v>
      </c>
      <c r="G159" s="72">
        <f t="shared" si="10"/>
        <v>21490.5</v>
      </c>
      <c r="H159" s="72">
        <f t="shared" si="11"/>
        <v>180099.1</v>
      </c>
      <c r="I159" s="72">
        <f t="shared" si="12"/>
        <v>58555.000000000007</v>
      </c>
      <c r="J159" s="51">
        <f t="shared" si="13"/>
        <v>260144.6</v>
      </c>
      <c r="K159" s="77">
        <f t="shared" si="14"/>
        <v>1457.890931915108</v>
      </c>
      <c r="AC159" s="94" t="s">
        <v>622</v>
      </c>
    </row>
    <row r="160" spans="1:29" ht="15" customHeight="1" x14ac:dyDescent="0.25">
      <c r="A160" s="74" t="str">
        <f>Unidades!A153</f>
        <v>D-081</v>
      </c>
      <c r="B160" s="75" t="str">
        <f>Unidades!B153</f>
        <v>T4</v>
      </c>
      <c r="C160" s="75" t="str">
        <f>Unidades!C153</f>
        <v>Fase 2</v>
      </c>
      <c r="D160" s="76">
        <f>Unidades!H153</f>
        <v>94.789000000000001</v>
      </c>
      <c r="E160" s="76">
        <f>Unidades!I153</f>
        <v>83.65</v>
      </c>
      <c r="F160" s="50">
        <v>699.55</v>
      </c>
      <c r="G160" s="72">
        <f t="shared" si="10"/>
        <v>20986.5</v>
      </c>
      <c r="H160" s="72">
        <f t="shared" si="11"/>
        <v>180099.1</v>
      </c>
      <c r="I160" s="72">
        <f t="shared" si="12"/>
        <v>58555.000000000007</v>
      </c>
      <c r="J160" s="51">
        <f t="shared" si="13"/>
        <v>259640.6</v>
      </c>
      <c r="K160" s="77">
        <f t="shared" si="14"/>
        <v>1455.0664372698791</v>
      </c>
      <c r="AC160" s="94" t="s">
        <v>622</v>
      </c>
    </row>
    <row r="161" spans="1:29" ht="15" customHeight="1" x14ac:dyDescent="0.25">
      <c r="A161" s="74" t="str">
        <f>Unidades!A154</f>
        <v>D-082</v>
      </c>
      <c r="B161" s="75" t="str">
        <f>Unidades!B154</f>
        <v>T4</v>
      </c>
      <c r="C161" s="75" t="str">
        <f>Unidades!C154</f>
        <v>Fase 2</v>
      </c>
      <c r="D161" s="76">
        <f>Unidades!H154</f>
        <v>94.789000000000001</v>
      </c>
      <c r="E161" s="76">
        <f>Unidades!I154</f>
        <v>83.65</v>
      </c>
      <c r="F161" s="50">
        <v>762.09</v>
      </c>
      <c r="G161" s="72">
        <f t="shared" si="10"/>
        <v>22862.7</v>
      </c>
      <c r="H161" s="72">
        <f t="shared" si="11"/>
        <v>180099.1</v>
      </c>
      <c r="I161" s="72">
        <f t="shared" si="12"/>
        <v>58555.000000000007</v>
      </c>
      <c r="J161" s="51">
        <f t="shared" si="13"/>
        <v>261516.80000000002</v>
      </c>
      <c r="K161" s="77">
        <f t="shared" si="14"/>
        <v>1465.5809548361065</v>
      </c>
      <c r="AC161" s="94" t="s">
        <v>627</v>
      </c>
    </row>
    <row r="162" spans="1:29" ht="15" customHeight="1" x14ac:dyDescent="0.25">
      <c r="A162" s="74" t="str">
        <f>Unidades!A155</f>
        <v>D-083</v>
      </c>
      <c r="B162" s="75" t="str">
        <f>Unidades!B155</f>
        <v>T4</v>
      </c>
      <c r="C162" s="75" t="str">
        <f>Unidades!C155</f>
        <v>Fase 2</v>
      </c>
      <c r="D162" s="76">
        <f>Unidades!H155</f>
        <v>94.789000000000001</v>
      </c>
      <c r="E162" s="76">
        <f>Unidades!I155</f>
        <v>83.65</v>
      </c>
      <c r="F162" s="50">
        <v>676.39</v>
      </c>
      <c r="G162" s="72">
        <f t="shared" si="10"/>
        <v>20291.7</v>
      </c>
      <c r="H162" s="72">
        <f t="shared" si="11"/>
        <v>180099.1</v>
      </c>
      <c r="I162" s="72">
        <f t="shared" si="12"/>
        <v>58555.000000000007</v>
      </c>
      <c r="J162" s="51">
        <f t="shared" si="13"/>
        <v>258945.80000000002</v>
      </c>
      <c r="K162" s="77">
        <f t="shared" si="14"/>
        <v>1451.1726696518137</v>
      </c>
      <c r="AC162" s="94" t="s">
        <v>616</v>
      </c>
    </row>
    <row r="163" spans="1:29" ht="15" customHeight="1" x14ac:dyDescent="0.25">
      <c r="A163" s="74" t="str">
        <f>Unidades!A156</f>
        <v>D-084</v>
      </c>
      <c r="B163" s="75" t="str">
        <f>Unidades!B156</f>
        <v>T4</v>
      </c>
      <c r="C163" s="75" t="str">
        <f>Unidades!C156</f>
        <v>Fase 2</v>
      </c>
      <c r="D163" s="76">
        <f>Unidades!H156</f>
        <v>94.789000000000001</v>
      </c>
      <c r="E163" s="76">
        <f>Unidades!I156</f>
        <v>83.65</v>
      </c>
      <c r="F163" s="50">
        <v>950.44</v>
      </c>
      <c r="G163" s="72">
        <f t="shared" si="10"/>
        <v>28513.200000000001</v>
      </c>
      <c r="H163" s="72">
        <f t="shared" si="11"/>
        <v>180099.1</v>
      </c>
      <c r="I163" s="72">
        <f t="shared" si="12"/>
        <v>58555.000000000007</v>
      </c>
      <c r="J163" s="51">
        <f t="shared" si="13"/>
        <v>267167.30000000005</v>
      </c>
      <c r="K163" s="77">
        <f t="shared" si="14"/>
        <v>1497.2472385521103</v>
      </c>
      <c r="AC163" s="94" t="s">
        <v>622</v>
      </c>
    </row>
    <row r="164" spans="1:29" ht="15" customHeight="1" x14ac:dyDescent="0.25">
      <c r="A164" s="74" t="str">
        <f>Unidades!A157</f>
        <v>E-001</v>
      </c>
      <c r="B164" s="75" t="str">
        <f>Unidades!B157</f>
        <v>T5</v>
      </c>
      <c r="C164" s="75" t="str">
        <f>Unidades!C157</f>
        <v>Fase 1</v>
      </c>
      <c r="D164" s="76">
        <f>Unidades!H157</f>
        <v>130.04400000000001</v>
      </c>
      <c r="E164" s="76">
        <f>Unidades!I157</f>
        <v>91.53</v>
      </c>
      <c r="F164" s="50">
        <v>526.04</v>
      </c>
      <c r="G164" s="72">
        <f t="shared" si="10"/>
        <v>15781.199999999999</v>
      </c>
      <c r="H164" s="72">
        <f t="shared" si="11"/>
        <v>247083.60000000003</v>
      </c>
      <c r="I164" s="72">
        <f t="shared" si="12"/>
        <v>64071</v>
      </c>
      <c r="J164" s="51">
        <f t="shared" si="13"/>
        <v>326935.80000000005</v>
      </c>
      <c r="K164" s="77">
        <f t="shared" si="14"/>
        <v>1475.5151777735657</v>
      </c>
      <c r="AC164" s="94" t="s">
        <v>622</v>
      </c>
    </row>
    <row r="165" spans="1:29" ht="15" customHeight="1" x14ac:dyDescent="0.25">
      <c r="A165" s="74" t="str">
        <f>Unidades!A158</f>
        <v>E-002</v>
      </c>
      <c r="B165" s="75" t="str">
        <f>Unidades!B158</f>
        <v>T5</v>
      </c>
      <c r="C165" s="75" t="str">
        <f>Unidades!C158</f>
        <v>Fase 1</v>
      </c>
      <c r="D165" s="76">
        <f>Unidades!H158</f>
        <v>130.04400000000001</v>
      </c>
      <c r="E165" s="76">
        <f>Unidades!I158</f>
        <v>91.53</v>
      </c>
      <c r="F165" s="50">
        <v>570.59</v>
      </c>
      <c r="G165" s="72">
        <f t="shared" si="10"/>
        <v>17117.7</v>
      </c>
      <c r="H165" s="72">
        <f t="shared" si="11"/>
        <v>247083.60000000003</v>
      </c>
      <c r="I165" s="72">
        <f t="shared" si="12"/>
        <v>64071</v>
      </c>
      <c r="J165" s="51">
        <f t="shared" si="13"/>
        <v>328272.30000000005</v>
      </c>
      <c r="K165" s="77">
        <f t="shared" si="14"/>
        <v>1481.5470226651144</v>
      </c>
      <c r="AC165" s="94" t="s">
        <v>616</v>
      </c>
    </row>
    <row r="166" spans="1:29" ht="15" customHeight="1" x14ac:dyDescent="0.25">
      <c r="A166" s="74" t="str">
        <f>Unidades!A159</f>
        <v>E-003</v>
      </c>
      <c r="B166" s="75" t="str">
        <f>Unidades!B159</f>
        <v>T5</v>
      </c>
      <c r="C166" s="75" t="str">
        <f>Unidades!C159</f>
        <v>Fase 1</v>
      </c>
      <c r="D166" s="76">
        <f>Unidades!H159</f>
        <v>130.04400000000001</v>
      </c>
      <c r="E166" s="76">
        <f>Unidades!I159</f>
        <v>91.53</v>
      </c>
      <c r="F166" s="50">
        <v>573.53</v>
      </c>
      <c r="G166" s="72">
        <f t="shared" si="10"/>
        <v>17205.899999999998</v>
      </c>
      <c r="H166" s="72">
        <f t="shared" si="11"/>
        <v>247083.60000000003</v>
      </c>
      <c r="I166" s="72">
        <f t="shared" si="12"/>
        <v>64071</v>
      </c>
      <c r="J166" s="51">
        <f t="shared" si="13"/>
        <v>328360.50000000006</v>
      </c>
      <c r="K166" s="77">
        <f t="shared" si="14"/>
        <v>1481.9450838094724</v>
      </c>
      <c r="AC166" s="94" t="s">
        <v>622</v>
      </c>
    </row>
    <row r="167" spans="1:29" ht="15" customHeight="1" x14ac:dyDescent="0.25">
      <c r="A167" s="74" t="str">
        <f>Unidades!A160</f>
        <v>E-004</v>
      </c>
      <c r="B167" s="75" t="str">
        <f>Unidades!B160</f>
        <v>T5</v>
      </c>
      <c r="C167" s="75" t="str">
        <f>Unidades!C160</f>
        <v>Fase 1</v>
      </c>
      <c r="D167" s="76">
        <f>Unidades!H160</f>
        <v>130.04400000000001</v>
      </c>
      <c r="E167" s="76">
        <f>Unidades!I160</f>
        <v>91.53</v>
      </c>
      <c r="F167" s="50">
        <v>756.24</v>
      </c>
      <c r="G167" s="72">
        <f t="shared" si="10"/>
        <v>22687.200000000001</v>
      </c>
      <c r="H167" s="72">
        <f t="shared" si="11"/>
        <v>247083.60000000003</v>
      </c>
      <c r="I167" s="72">
        <f t="shared" si="12"/>
        <v>64071</v>
      </c>
      <c r="J167" s="51">
        <f t="shared" si="13"/>
        <v>333841.80000000005</v>
      </c>
      <c r="K167" s="77">
        <f t="shared" si="14"/>
        <v>1506.6830945869101</v>
      </c>
      <c r="AC167" s="94" t="s">
        <v>627</v>
      </c>
    </row>
    <row r="168" spans="1:29" ht="15" customHeight="1" x14ac:dyDescent="0.25">
      <c r="A168" s="74" t="str">
        <f>Unidades!A161</f>
        <v>E-005</v>
      </c>
      <c r="B168" s="75" t="str">
        <f>Unidades!B161</f>
        <v>T5</v>
      </c>
      <c r="C168" s="75" t="str">
        <f>Unidades!C161</f>
        <v>Fase 1</v>
      </c>
      <c r="D168" s="76">
        <f>Unidades!H161</f>
        <v>130.04400000000001</v>
      </c>
      <c r="E168" s="76">
        <f>Unidades!I161</f>
        <v>91.53</v>
      </c>
      <c r="F168" s="50">
        <v>517.65</v>
      </c>
      <c r="G168" s="72">
        <f t="shared" si="10"/>
        <v>15529.5</v>
      </c>
      <c r="H168" s="72">
        <f t="shared" si="11"/>
        <v>247083.60000000003</v>
      </c>
      <c r="I168" s="72">
        <f t="shared" si="12"/>
        <v>64071</v>
      </c>
      <c r="J168" s="51">
        <f t="shared" si="13"/>
        <v>326684.10000000003</v>
      </c>
      <c r="K168" s="77">
        <f t="shared" si="14"/>
        <v>1474.3792141677272</v>
      </c>
      <c r="AC168" s="94" t="s">
        <v>627</v>
      </c>
    </row>
    <row r="169" spans="1:29" ht="15" customHeight="1" x14ac:dyDescent="0.25">
      <c r="A169" s="74" t="str">
        <f>Unidades!A162</f>
        <v>E-006</v>
      </c>
      <c r="B169" s="75" t="str">
        <f>Unidades!B162</f>
        <v>T5</v>
      </c>
      <c r="C169" s="75" t="str">
        <f>Unidades!C162</f>
        <v>Fase 1</v>
      </c>
      <c r="D169" s="76">
        <f>Unidades!H162</f>
        <v>130.04400000000001</v>
      </c>
      <c r="E169" s="76">
        <f>Unidades!I162</f>
        <v>91.53</v>
      </c>
      <c r="F169" s="50">
        <v>745.89</v>
      </c>
      <c r="G169" s="72">
        <f t="shared" si="10"/>
        <v>22376.7</v>
      </c>
      <c r="H169" s="72">
        <f t="shared" si="11"/>
        <v>247083.60000000003</v>
      </c>
      <c r="I169" s="72">
        <f t="shared" si="12"/>
        <v>64071</v>
      </c>
      <c r="J169" s="51">
        <f t="shared" si="13"/>
        <v>333531.30000000005</v>
      </c>
      <c r="K169" s="77">
        <f t="shared" si="14"/>
        <v>1505.2817568848332</v>
      </c>
      <c r="AC169" s="94" t="s">
        <v>622</v>
      </c>
    </row>
    <row r="170" spans="1:29" ht="15" customHeight="1" x14ac:dyDescent="0.25">
      <c r="A170" s="74" t="str">
        <f>Unidades!A163</f>
        <v>E-007</v>
      </c>
      <c r="B170" s="75" t="str">
        <f>Unidades!B163</f>
        <v>T5</v>
      </c>
      <c r="C170" s="75" t="str">
        <f>Unidades!C163</f>
        <v>Fase 1</v>
      </c>
      <c r="D170" s="76">
        <f>Unidades!H163</f>
        <v>130.04400000000001</v>
      </c>
      <c r="E170" s="76">
        <f>Unidades!I163</f>
        <v>91.53</v>
      </c>
      <c r="F170" s="50">
        <v>765.82</v>
      </c>
      <c r="G170" s="72">
        <f t="shared" si="10"/>
        <v>22974.600000000002</v>
      </c>
      <c r="H170" s="72">
        <f t="shared" si="11"/>
        <v>247083.60000000003</v>
      </c>
      <c r="I170" s="72">
        <f t="shared" si="12"/>
        <v>64071</v>
      </c>
      <c r="J170" s="51">
        <f t="shared" si="13"/>
        <v>334129.2</v>
      </c>
      <c r="K170" s="77">
        <f t="shared" si="14"/>
        <v>1507.9801781797503</v>
      </c>
      <c r="AC170" s="94" t="s">
        <v>627</v>
      </c>
    </row>
    <row r="171" spans="1:29" ht="15" customHeight="1" x14ac:dyDescent="0.25">
      <c r="A171" s="74" t="str">
        <f>Unidades!A164</f>
        <v>E-008</v>
      </c>
      <c r="B171" s="75" t="str">
        <f>Unidades!B164</f>
        <v>T5</v>
      </c>
      <c r="C171" s="75" t="str">
        <f>Unidades!C164</f>
        <v>Fase 1</v>
      </c>
      <c r="D171" s="76">
        <f>Unidades!H164</f>
        <v>130.04400000000001</v>
      </c>
      <c r="E171" s="76">
        <f>Unidades!I164</f>
        <v>91.53</v>
      </c>
      <c r="F171" s="50">
        <v>648.64</v>
      </c>
      <c r="G171" s="72">
        <f t="shared" si="10"/>
        <v>19459.2</v>
      </c>
      <c r="H171" s="72">
        <f t="shared" si="11"/>
        <v>247083.60000000003</v>
      </c>
      <c r="I171" s="72">
        <f t="shared" si="12"/>
        <v>64071</v>
      </c>
      <c r="J171" s="51">
        <f t="shared" si="13"/>
        <v>330613.80000000005</v>
      </c>
      <c r="K171" s="77">
        <f t="shared" si="14"/>
        <v>1492.1145982831922</v>
      </c>
      <c r="AC171" s="94" t="s">
        <v>622</v>
      </c>
    </row>
    <row r="172" spans="1:29" ht="15" customHeight="1" x14ac:dyDescent="0.25">
      <c r="A172" s="74" t="str">
        <f>Unidades!A165</f>
        <v>E-009</v>
      </c>
      <c r="B172" s="75" t="str">
        <f>Unidades!B165</f>
        <v>T5</v>
      </c>
      <c r="C172" s="75" t="str">
        <f>Unidades!C165</f>
        <v>Fase 1</v>
      </c>
      <c r="D172" s="76">
        <f>Unidades!H165</f>
        <v>130.04400000000001</v>
      </c>
      <c r="E172" s="76">
        <f>Unidades!I165</f>
        <v>91.53</v>
      </c>
      <c r="F172" s="50">
        <v>723.32</v>
      </c>
      <c r="G172" s="72">
        <f t="shared" si="10"/>
        <v>21699.600000000002</v>
      </c>
      <c r="H172" s="72">
        <f t="shared" si="11"/>
        <v>247083.60000000003</v>
      </c>
      <c r="I172" s="72">
        <f t="shared" si="12"/>
        <v>64071</v>
      </c>
      <c r="J172" s="51">
        <f t="shared" si="13"/>
        <v>332854.2</v>
      </c>
      <c r="K172" s="77">
        <f t="shared" si="14"/>
        <v>1502.2258929296759</v>
      </c>
      <c r="AC172" s="94" t="s">
        <v>622</v>
      </c>
    </row>
    <row r="173" spans="1:29" ht="15" customHeight="1" x14ac:dyDescent="0.25">
      <c r="A173" s="74" t="str">
        <f>Unidades!A166</f>
        <v>E-010</v>
      </c>
      <c r="B173" s="75" t="str">
        <f>Unidades!B166</f>
        <v>T5</v>
      </c>
      <c r="C173" s="75" t="str">
        <f>Unidades!C166</f>
        <v>Fase 1</v>
      </c>
      <c r="D173" s="76">
        <f>Unidades!H166</f>
        <v>130.04400000000001</v>
      </c>
      <c r="E173" s="76">
        <f>Unidades!I166</f>
        <v>91.53</v>
      </c>
      <c r="F173" s="50">
        <v>644.47</v>
      </c>
      <c r="G173" s="72">
        <f t="shared" si="10"/>
        <v>19334.100000000002</v>
      </c>
      <c r="H173" s="72">
        <f t="shared" si="11"/>
        <v>247083.60000000003</v>
      </c>
      <c r="I173" s="72">
        <f t="shared" si="12"/>
        <v>64071</v>
      </c>
      <c r="J173" s="51">
        <f t="shared" si="13"/>
        <v>330488.7</v>
      </c>
      <c r="K173" s="77">
        <f t="shared" si="14"/>
        <v>1491.5500013539495</v>
      </c>
      <c r="AC173" s="94" t="s">
        <v>616</v>
      </c>
    </row>
    <row r="174" spans="1:29" ht="15" customHeight="1" x14ac:dyDescent="0.25">
      <c r="A174" s="74" t="str">
        <f>Unidades!A167</f>
        <v>E-011</v>
      </c>
      <c r="B174" s="75" t="str">
        <f>Unidades!B167</f>
        <v>T5</v>
      </c>
      <c r="C174" s="75" t="str">
        <f>Unidades!C167</f>
        <v>Fase 1</v>
      </c>
      <c r="D174" s="76">
        <f>Unidades!H167</f>
        <v>130.04400000000001</v>
      </c>
      <c r="E174" s="76">
        <f>Unidades!I167</f>
        <v>91.53</v>
      </c>
      <c r="F174" s="50">
        <v>599.96</v>
      </c>
      <c r="G174" s="72">
        <f t="shared" si="10"/>
        <v>17998.800000000003</v>
      </c>
      <c r="H174" s="72">
        <f t="shared" si="11"/>
        <v>247083.60000000003</v>
      </c>
      <c r="I174" s="72">
        <f t="shared" si="12"/>
        <v>64071</v>
      </c>
      <c r="J174" s="51">
        <f t="shared" si="13"/>
        <v>329153.40000000002</v>
      </c>
      <c r="K174" s="77">
        <f t="shared" si="14"/>
        <v>1485.5235722602833</v>
      </c>
      <c r="AC174" s="94" t="s">
        <v>622</v>
      </c>
    </row>
    <row r="175" spans="1:29" ht="15" customHeight="1" x14ac:dyDescent="0.25">
      <c r="A175" s="74" t="str">
        <f>Unidades!A168</f>
        <v>E-012</v>
      </c>
      <c r="B175" s="75" t="str">
        <f>Unidades!B168</f>
        <v>T5</v>
      </c>
      <c r="C175" s="75" t="str">
        <f>Unidades!C168</f>
        <v>Fase 1</v>
      </c>
      <c r="D175" s="76">
        <f>Unidades!H168</f>
        <v>130.04400000000001</v>
      </c>
      <c r="E175" s="76">
        <f>Unidades!I168</f>
        <v>91.53</v>
      </c>
      <c r="F175" s="50">
        <v>634.46</v>
      </c>
      <c r="G175" s="72">
        <f t="shared" si="10"/>
        <v>19033.800000000003</v>
      </c>
      <c r="H175" s="72">
        <f t="shared" si="11"/>
        <v>247083.60000000003</v>
      </c>
      <c r="I175" s="72">
        <f t="shared" si="12"/>
        <v>64071</v>
      </c>
      <c r="J175" s="51">
        <f t="shared" si="13"/>
        <v>330188.40000000002</v>
      </c>
      <c r="K175" s="77">
        <f t="shared" si="14"/>
        <v>1490.1946979338732</v>
      </c>
      <c r="AC175" s="94" t="s">
        <v>616</v>
      </c>
    </row>
    <row r="176" spans="1:29" ht="15" customHeight="1" x14ac:dyDescent="0.25">
      <c r="A176" s="74" t="str">
        <f>Unidades!A169</f>
        <v>E-013</v>
      </c>
      <c r="B176" s="75" t="str">
        <f>Unidades!B169</f>
        <v>T5</v>
      </c>
      <c r="C176" s="75" t="str">
        <f>Unidades!C169</f>
        <v>Fase 1</v>
      </c>
      <c r="D176" s="76">
        <f>Unidades!H169</f>
        <v>130.04400000000001</v>
      </c>
      <c r="E176" s="76">
        <f>Unidades!I169</f>
        <v>91.53</v>
      </c>
      <c r="F176" s="50">
        <v>761.65</v>
      </c>
      <c r="G176" s="72">
        <f t="shared" si="10"/>
        <v>22849.5</v>
      </c>
      <c r="H176" s="72">
        <f t="shared" si="11"/>
        <v>247083.60000000003</v>
      </c>
      <c r="I176" s="72">
        <f t="shared" si="12"/>
        <v>64071</v>
      </c>
      <c r="J176" s="51">
        <f t="shared" si="13"/>
        <v>334004.10000000003</v>
      </c>
      <c r="K176" s="77">
        <f t="shared" si="14"/>
        <v>1507.4155812505078</v>
      </c>
      <c r="AC176" s="94" t="s">
        <v>627</v>
      </c>
    </row>
    <row r="177" spans="1:29" ht="15" customHeight="1" x14ac:dyDescent="0.25">
      <c r="A177" s="74" t="str">
        <f>Unidades!A170</f>
        <v>E-014</v>
      </c>
      <c r="B177" s="75" t="str">
        <f>Unidades!B170</f>
        <v>T5</v>
      </c>
      <c r="C177" s="75" t="str">
        <f>Unidades!C170</f>
        <v>Fase 1</v>
      </c>
      <c r="D177" s="76">
        <f>Unidades!H170</f>
        <v>130.04400000000001</v>
      </c>
      <c r="E177" s="76">
        <f>Unidades!I170</f>
        <v>91.53</v>
      </c>
      <c r="F177" s="50">
        <v>670.21</v>
      </c>
      <c r="G177" s="72">
        <f t="shared" si="10"/>
        <v>20106.300000000003</v>
      </c>
      <c r="H177" s="72">
        <f t="shared" si="11"/>
        <v>247083.60000000003</v>
      </c>
      <c r="I177" s="72">
        <f t="shared" si="12"/>
        <v>64071</v>
      </c>
      <c r="J177" s="51">
        <f t="shared" si="13"/>
        <v>331260.90000000002</v>
      </c>
      <c r="K177" s="77">
        <f t="shared" si="14"/>
        <v>1495.0350672912887</v>
      </c>
      <c r="AC177" s="94" t="s">
        <v>622</v>
      </c>
    </row>
    <row r="178" spans="1:29" ht="15" customHeight="1" x14ac:dyDescent="0.25">
      <c r="A178" s="74" t="str">
        <f>Unidades!A171</f>
        <v>E-015</v>
      </c>
      <c r="B178" s="75" t="str">
        <f>Unidades!B171</f>
        <v>T5</v>
      </c>
      <c r="C178" s="75" t="str">
        <f>Unidades!C171</f>
        <v>Fase 1</v>
      </c>
      <c r="D178" s="76">
        <f>Unidades!H171</f>
        <v>130.04400000000001</v>
      </c>
      <c r="E178" s="76">
        <f>Unidades!I171</f>
        <v>91.53</v>
      </c>
      <c r="F178" s="50">
        <v>656.4</v>
      </c>
      <c r="G178" s="72">
        <f t="shared" si="10"/>
        <v>19692</v>
      </c>
      <c r="H178" s="72">
        <f t="shared" si="11"/>
        <v>247083.60000000003</v>
      </c>
      <c r="I178" s="72">
        <f t="shared" si="12"/>
        <v>64071</v>
      </c>
      <c r="J178" s="51">
        <f t="shared" si="13"/>
        <v>330846.60000000003</v>
      </c>
      <c r="K178" s="77">
        <f t="shared" si="14"/>
        <v>1493.1652630723822</v>
      </c>
      <c r="AC178" s="94" t="s">
        <v>622</v>
      </c>
    </row>
    <row r="179" spans="1:29" ht="15" customHeight="1" x14ac:dyDescent="0.25">
      <c r="A179" s="74" t="str">
        <f>Unidades!A172</f>
        <v>E-016</v>
      </c>
      <c r="B179" s="75" t="str">
        <f>Unidades!B172</f>
        <v>T5</v>
      </c>
      <c r="C179" s="75" t="str">
        <f>Unidades!C172</f>
        <v>Fase 1</v>
      </c>
      <c r="D179" s="76">
        <f>Unidades!H172</f>
        <v>130.04400000000001</v>
      </c>
      <c r="E179" s="76">
        <f>Unidades!I172</f>
        <v>91.53</v>
      </c>
      <c r="F179" s="50">
        <v>696.65</v>
      </c>
      <c r="G179" s="72">
        <f t="shared" si="10"/>
        <v>20899.5</v>
      </c>
      <c r="H179" s="72">
        <f t="shared" si="11"/>
        <v>247083.60000000003</v>
      </c>
      <c r="I179" s="72">
        <f t="shared" si="12"/>
        <v>64071</v>
      </c>
      <c r="J179" s="51">
        <f t="shared" si="13"/>
        <v>332054.10000000003</v>
      </c>
      <c r="K179" s="77">
        <f t="shared" si="14"/>
        <v>1498.6149096915703</v>
      </c>
      <c r="AC179" s="94" t="s">
        <v>622</v>
      </c>
    </row>
    <row r="180" spans="1:29" ht="15" customHeight="1" x14ac:dyDescent="0.25">
      <c r="A180" s="74" t="str">
        <f>Unidades!A173</f>
        <v>E-017</v>
      </c>
      <c r="B180" s="75" t="str">
        <f>Unidades!B173</f>
        <v>T5</v>
      </c>
      <c r="C180" s="75" t="str">
        <f>Unidades!C173</f>
        <v>Fase 1</v>
      </c>
      <c r="D180" s="76">
        <f>Unidades!H173</f>
        <v>130.04400000000001</v>
      </c>
      <c r="E180" s="76">
        <f>Unidades!I173</f>
        <v>91.53</v>
      </c>
      <c r="F180" s="50">
        <v>559.99</v>
      </c>
      <c r="G180" s="72">
        <f t="shared" si="10"/>
        <v>16799.7</v>
      </c>
      <c r="H180" s="72">
        <f t="shared" si="11"/>
        <v>247083.60000000003</v>
      </c>
      <c r="I180" s="72">
        <f t="shared" si="12"/>
        <v>64071</v>
      </c>
      <c r="J180" s="51">
        <f t="shared" si="13"/>
        <v>327954.30000000005</v>
      </c>
      <c r="K180" s="77">
        <f t="shared" si="14"/>
        <v>1480.1118362262721</v>
      </c>
      <c r="AC180" s="94" t="s">
        <v>616</v>
      </c>
    </row>
    <row r="181" spans="1:29" ht="15" customHeight="1" x14ac:dyDescent="0.25">
      <c r="A181" s="74" t="str">
        <f>Unidades!A174</f>
        <v>E-018</v>
      </c>
      <c r="B181" s="75" t="str">
        <f>Unidades!B174</f>
        <v>T5</v>
      </c>
      <c r="C181" s="75" t="str">
        <f>Unidades!C174</f>
        <v>Fase 1</v>
      </c>
      <c r="D181" s="76">
        <f>Unidades!H174</f>
        <v>130.04400000000001</v>
      </c>
      <c r="E181" s="76">
        <f>Unidades!I174</f>
        <v>91.53</v>
      </c>
      <c r="F181" s="50">
        <v>733.12</v>
      </c>
      <c r="G181" s="72">
        <f t="shared" si="10"/>
        <v>21993.599999999999</v>
      </c>
      <c r="H181" s="72">
        <f t="shared" si="11"/>
        <v>247083.60000000003</v>
      </c>
      <c r="I181" s="72">
        <f t="shared" si="12"/>
        <v>64071</v>
      </c>
      <c r="J181" s="51">
        <f t="shared" si="13"/>
        <v>333148.2</v>
      </c>
      <c r="K181" s="77">
        <f t="shared" si="14"/>
        <v>1503.5527634108694</v>
      </c>
      <c r="AC181" s="94" t="s">
        <v>622</v>
      </c>
    </row>
    <row r="182" spans="1:29" ht="15" customHeight="1" x14ac:dyDescent="0.25">
      <c r="A182" s="74" t="str">
        <f>Unidades!A175</f>
        <v>E-019</v>
      </c>
      <c r="B182" s="75" t="str">
        <f>Unidades!B175</f>
        <v>T5</v>
      </c>
      <c r="C182" s="75" t="str">
        <f>Unidades!C175</f>
        <v>Fase 1</v>
      </c>
      <c r="D182" s="76">
        <f>Unidades!H175</f>
        <v>130.04400000000001</v>
      </c>
      <c r="E182" s="76">
        <f>Unidades!I175</f>
        <v>91.53</v>
      </c>
      <c r="F182" s="50">
        <v>640.84</v>
      </c>
      <c r="G182" s="72">
        <f t="shared" si="10"/>
        <v>19225.2</v>
      </c>
      <c r="H182" s="72">
        <f t="shared" si="11"/>
        <v>247083.60000000003</v>
      </c>
      <c r="I182" s="72">
        <f t="shared" si="12"/>
        <v>64071</v>
      </c>
      <c r="J182" s="51">
        <f t="shared" si="13"/>
        <v>330379.80000000005</v>
      </c>
      <c r="K182" s="77">
        <f t="shared" si="14"/>
        <v>1491.0585176961197</v>
      </c>
      <c r="AC182" s="94" t="s">
        <v>622</v>
      </c>
    </row>
    <row r="183" spans="1:29" ht="15" customHeight="1" x14ac:dyDescent="0.25">
      <c r="A183" s="74" t="str">
        <f>Unidades!A176</f>
        <v>E-020</v>
      </c>
      <c r="B183" s="75" t="str">
        <f>Unidades!B176</f>
        <v>T5</v>
      </c>
      <c r="C183" s="75" t="str">
        <f>Unidades!C176</f>
        <v>Fase 1</v>
      </c>
      <c r="D183" s="76">
        <f>Unidades!H176</f>
        <v>130.04400000000001</v>
      </c>
      <c r="E183" s="76">
        <f>Unidades!I176</f>
        <v>91.53</v>
      </c>
      <c r="F183" s="50">
        <v>648.91</v>
      </c>
      <c r="G183" s="72">
        <f t="shared" si="10"/>
        <v>19467.3</v>
      </c>
      <c r="H183" s="72">
        <f t="shared" si="11"/>
        <v>247083.60000000003</v>
      </c>
      <c r="I183" s="72">
        <f t="shared" si="12"/>
        <v>64071</v>
      </c>
      <c r="J183" s="51">
        <f t="shared" si="13"/>
        <v>330621.90000000002</v>
      </c>
      <c r="K183" s="77">
        <f t="shared" si="14"/>
        <v>1492.1511549188986</v>
      </c>
      <c r="AC183" s="94" t="s">
        <v>622</v>
      </c>
    </row>
    <row r="184" spans="1:29" ht="15" customHeight="1" x14ac:dyDescent="0.25">
      <c r="A184" s="74" t="str">
        <f>Unidades!A177</f>
        <v>E-021</v>
      </c>
      <c r="B184" s="75" t="str">
        <f>Unidades!B177</f>
        <v>T5</v>
      </c>
      <c r="C184" s="75" t="str">
        <f>Unidades!C177</f>
        <v>Fase 1</v>
      </c>
      <c r="D184" s="76">
        <f>Unidades!H177</f>
        <v>130.04400000000001</v>
      </c>
      <c r="E184" s="76">
        <f>Unidades!I177</f>
        <v>91.53</v>
      </c>
      <c r="F184" s="50">
        <v>540.47</v>
      </c>
      <c r="G184" s="72">
        <f t="shared" si="10"/>
        <v>16214.1</v>
      </c>
      <c r="H184" s="72">
        <f t="shared" si="11"/>
        <v>247083.60000000003</v>
      </c>
      <c r="I184" s="72">
        <f t="shared" si="12"/>
        <v>64071</v>
      </c>
      <c r="J184" s="51">
        <f t="shared" si="13"/>
        <v>327368.7</v>
      </c>
      <c r="K184" s="77">
        <f t="shared" si="14"/>
        <v>1477.4689268596496</v>
      </c>
      <c r="AC184" s="94" t="s">
        <v>616</v>
      </c>
    </row>
    <row r="185" spans="1:29" ht="15" customHeight="1" x14ac:dyDescent="0.25">
      <c r="A185" s="74" t="str">
        <f>Unidades!A178</f>
        <v>E-022</v>
      </c>
      <c r="B185" s="75" t="str">
        <f>Unidades!B178</f>
        <v>T5</v>
      </c>
      <c r="C185" s="75" t="str">
        <f>Unidades!C178</f>
        <v>Fase 1</v>
      </c>
      <c r="D185" s="76">
        <f>Unidades!H178</f>
        <v>130.04400000000001</v>
      </c>
      <c r="E185" s="76">
        <f>Unidades!I178</f>
        <v>91.53</v>
      </c>
      <c r="F185" s="50">
        <v>662.46</v>
      </c>
      <c r="G185" s="72">
        <f t="shared" si="10"/>
        <v>19873.800000000003</v>
      </c>
      <c r="H185" s="72">
        <f t="shared" si="11"/>
        <v>247083.60000000003</v>
      </c>
      <c r="I185" s="72">
        <f t="shared" si="12"/>
        <v>64071</v>
      </c>
      <c r="J185" s="51">
        <f t="shared" si="13"/>
        <v>331028.40000000002</v>
      </c>
      <c r="K185" s="77">
        <f t="shared" si="14"/>
        <v>1493.9857564515692</v>
      </c>
      <c r="AC185" s="94" t="s">
        <v>622</v>
      </c>
    </row>
    <row r="186" spans="1:29" ht="15" customHeight="1" x14ac:dyDescent="0.25">
      <c r="A186" s="74" t="str">
        <f>Unidades!A179</f>
        <v>E-023</v>
      </c>
      <c r="B186" s="75" t="str">
        <f>Unidades!B179</f>
        <v>T5</v>
      </c>
      <c r="C186" s="75" t="str">
        <f>Unidades!C179</f>
        <v>Fase 1</v>
      </c>
      <c r="D186" s="76">
        <f>Unidades!H179</f>
        <v>130.04400000000001</v>
      </c>
      <c r="E186" s="76">
        <f>Unidades!I179</f>
        <v>91.53</v>
      </c>
      <c r="F186" s="50">
        <v>775.34</v>
      </c>
      <c r="G186" s="72">
        <f t="shared" si="10"/>
        <v>23260.2</v>
      </c>
      <c r="H186" s="72">
        <f t="shared" si="11"/>
        <v>247083.60000000003</v>
      </c>
      <c r="I186" s="72">
        <f t="shared" si="12"/>
        <v>64071</v>
      </c>
      <c r="J186" s="51">
        <f t="shared" si="13"/>
        <v>334414.80000000005</v>
      </c>
      <c r="K186" s="77">
        <f t="shared" si="14"/>
        <v>1509.2691380757672</v>
      </c>
      <c r="AC186" s="94" t="s">
        <v>616</v>
      </c>
    </row>
    <row r="187" spans="1:29" ht="15" customHeight="1" x14ac:dyDescent="0.25">
      <c r="A187" s="74" t="str">
        <f>Unidades!A180</f>
        <v>E-024</v>
      </c>
      <c r="B187" s="75" t="str">
        <f>Unidades!B180</f>
        <v>T5</v>
      </c>
      <c r="C187" s="75" t="str">
        <f>Unidades!C180</f>
        <v>Fase 1</v>
      </c>
      <c r="D187" s="76">
        <f>Unidades!H180</f>
        <v>130.04400000000001</v>
      </c>
      <c r="E187" s="76">
        <f>Unidades!I180</f>
        <v>91.53</v>
      </c>
      <c r="F187" s="50">
        <v>745.47</v>
      </c>
      <c r="G187" s="72">
        <f t="shared" si="10"/>
        <v>22364.100000000002</v>
      </c>
      <c r="H187" s="72">
        <f t="shared" si="11"/>
        <v>247083.60000000003</v>
      </c>
      <c r="I187" s="72">
        <f t="shared" si="12"/>
        <v>64071</v>
      </c>
      <c r="J187" s="51">
        <f t="shared" si="13"/>
        <v>333518.7</v>
      </c>
      <c r="K187" s="77">
        <f t="shared" si="14"/>
        <v>1505.2248910070675</v>
      </c>
      <c r="AC187" s="94" t="s">
        <v>616</v>
      </c>
    </row>
    <row r="188" spans="1:29" ht="15" customHeight="1" x14ac:dyDescent="0.25">
      <c r="A188" s="74" t="str">
        <f>Unidades!A181</f>
        <v>E-025</v>
      </c>
      <c r="B188" s="75" t="str">
        <f>Unidades!B181</f>
        <v>T5</v>
      </c>
      <c r="C188" s="75" t="str">
        <f>Unidades!C181</f>
        <v>Fase 1</v>
      </c>
      <c r="D188" s="76">
        <f>Unidades!H181</f>
        <v>130.04400000000001</v>
      </c>
      <c r="E188" s="76">
        <f>Unidades!I181</f>
        <v>91.53</v>
      </c>
      <c r="F188" s="50">
        <v>670.43</v>
      </c>
      <c r="G188" s="72">
        <f t="shared" si="10"/>
        <v>20112.899999999998</v>
      </c>
      <c r="H188" s="72">
        <f t="shared" si="11"/>
        <v>247083.60000000003</v>
      </c>
      <c r="I188" s="72">
        <f t="shared" si="12"/>
        <v>64071</v>
      </c>
      <c r="J188" s="51">
        <f t="shared" si="13"/>
        <v>331267.50000000006</v>
      </c>
      <c r="K188" s="77">
        <f t="shared" si="14"/>
        <v>1495.0648541796422</v>
      </c>
      <c r="AC188" s="94" t="s">
        <v>627</v>
      </c>
    </row>
    <row r="189" spans="1:29" ht="15" customHeight="1" x14ac:dyDescent="0.25">
      <c r="A189" s="74" t="str">
        <f>Unidades!A182</f>
        <v>E-026</v>
      </c>
      <c r="B189" s="75" t="str">
        <f>Unidades!B182</f>
        <v>T5</v>
      </c>
      <c r="C189" s="75" t="str">
        <f>Unidades!C182</f>
        <v>Fase 1</v>
      </c>
      <c r="D189" s="76">
        <f>Unidades!H182</f>
        <v>130.04400000000001</v>
      </c>
      <c r="E189" s="76">
        <f>Unidades!I182</f>
        <v>91.53</v>
      </c>
      <c r="F189" s="50">
        <v>542.05999999999995</v>
      </c>
      <c r="G189" s="72">
        <f t="shared" si="10"/>
        <v>16261.8</v>
      </c>
      <c r="H189" s="72">
        <f t="shared" si="11"/>
        <v>247083.60000000003</v>
      </c>
      <c r="I189" s="72">
        <f t="shared" si="12"/>
        <v>64071</v>
      </c>
      <c r="J189" s="51">
        <f t="shared" si="13"/>
        <v>327416.40000000002</v>
      </c>
      <c r="K189" s="77">
        <f t="shared" si="14"/>
        <v>1477.6842048254759</v>
      </c>
      <c r="AC189" s="94" t="s">
        <v>622</v>
      </c>
    </row>
    <row r="190" spans="1:29" ht="15" customHeight="1" x14ac:dyDescent="0.25">
      <c r="A190" s="74" t="str">
        <f>Unidades!A183</f>
        <v>E-027</v>
      </c>
      <c r="B190" s="75" t="str">
        <f>Unidades!B183</f>
        <v>T5</v>
      </c>
      <c r="C190" s="75" t="str">
        <f>Unidades!C183</f>
        <v>Fase 1</v>
      </c>
      <c r="D190" s="76">
        <f>Unidades!H183</f>
        <v>130.04400000000001</v>
      </c>
      <c r="E190" s="76">
        <f>Unidades!I183</f>
        <v>91.53</v>
      </c>
      <c r="F190" s="50">
        <v>556.16</v>
      </c>
      <c r="G190" s="72">
        <f t="shared" si="10"/>
        <v>16684.8</v>
      </c>
      <c r="H190" s="72">
        <f t="shared" si="11"/>
        <v>247083.60000000003</v>
      </c>
      <c r="I190" s="72">
        <f t="shared" si="12"/>
        <v>64071</v>
      </c>
      <c r="J190" s="51">
        <f t="shared" si="13"/>
        <v>327839.40000000002</v>
      </c>
      <c r="K190" s="77">
        <f t="shared" si="14"/>
        <v>1479.59327357903</v>
      </c>
      <c r="AC190" s="94" t="s">
        <v>622</v>
      </c>
    </row>
    <row r="191" spans="1:29" ht="15" customHeight="1" x14ac:dyDescent="0.25">
      <c r="A191" s="74" t="str">
        <f>Unidades!A184</f>
        <v>E-028</v>
      </c>
      <c r="B191" s="75" t="str">
        <f>Unidades!B184</f>
        <v>T5</v>
      </c>
      <c r="C191" s="75" t="str">
        <f>Unidades!C184</f>
        <v>Fase 1</v>
      </c>
      <c r="D191" s="76">
        <f>Unidades!H184</f>
        <v>130.04400000000001</v>
      </c>
      <c r="E191" s="76">
        <f>Unidades!I184</f>
        <v>91.53</v>
      </c>
      <c r="F191" s="50">
        <v>565.84</v>
      </c>
      <c r="G191" s="72">
        <f t="shared" si="10"/>
        <v>16975.2</v>
      </c>
      <c r="H191" s="72">
        <f t="shared" si="11"/>
        <v>247083.60000000003</v>
      </c>
      <c r="I191" s="72">
        <f t="shared" si="12"/>
        <v>64071</v>
      </c>
      <c r="J191" s="51">
        <f t="shared" si="13"/>
        <v>328129.80000000005</v>
      </c>
      <c r="K191" s="77">
        <f t="shared" si="14"/>
        <v>1480.9038966665764</v>
      </c>
      <c r="AC191" s="94" t="s">
        <v>622</v>
      </c>
    </row>
    <row r="192" spans="1:29" ht="15" customHeight="1" x14ac:dyDescent="0.25">
      <c r="A192" s="74" t="str">
        <f>Unidades!A185</f>
        <v>E-029</v>
      </c>
      <c r="B192" s="75" t="str">
        <f>Unidades!B185</f>
        <v>T5</v>
      </c>
      <c r="C192" s="75" t="str">
        <f>Unidades!C185</f>
        <v>Fase 1</v>
      </c>
      <c r="D192" s="76">
        <f>Unidades!H185</f>
        <v>130.04400000000001</v>
      </c>
      <c r="E192" s="76">
        <f>Unidades!I185</f>
        <v>91.53</v>
      </c>
      <c r="F192" s="50">
        <v>745.66</v>
      </c>
      <c r="G192" s="72">
        <f t="shared" si="10"/>
        <v>22369.8</v>
      </c>
      <c r="H192" s="72">
        <f t="shared" si="11"/>
        <v>247083.60000000003</v>
      </c>
      <c r="I192" s="72">
        <f t="shared" si="12"/>
        <v>64071</v>
      </c>
      <c r="J192" s="51">
        <f t="shared" si="13"/>
        <v>333524.40000000002</v>
      </c>
      <c r="K192" s="77">
        <f t="shared" si="14"/>
        <v>1505.2506160470091</v>
      </c>
      <c r="AC192" s="94" t="s">
        <v>622</v>
      </c>
    </row>
    <row r="193" spans="1:29" ht="15" customHeight="1" x14ac:dyDescent="0.25">
      <c r="A193" s="74" t="str">
        <f>Unidades!A186</f>
        <v>E-030</v>
      </c>
      <c r="B193" s="75" t="str">
        <f>Unidades!B186</f>
        <v>T5</v>
      </c>
      <c r="C193" s="75" t="str">
        <f>Unidades!C186</f>
        <v>Fase 1</v>
      </c>
      <c r="D193" s="76">
        <f>Unidades!H186</f>
        <v>130.04400000000001</v>
      </c>
      <c r="E193" s="76">
        <f>Unidades!I186</f>
        <v>91.53</v>
      </c>
      <c r="F193" s="50">
        <v>640.65</v>
      </c>
      <c r="G193" s="72">
        <f t="shared" si="10"/>
        <v>19219.5</v>
      </c>
      <c r="H193" s="72">
        <f t="shared" si="11"/>
        <v>247083.60000000003</v>
      </c>
      <c r="I193" s="72">
        <f t="shared" si="12"/>
        <v>64071</v>
      </c>
      <c r="J193" s="51">
        <f t="shared" si="13"/>
        <v>330374.10000000003</v>
      </c>
      <c r="K193" s="77">
        <f t="shared" si="14"/>
        <v>1491.0327926561781</v>
      </c>
      <c r="AC193" s="94" t="s">
        <v>627</v>
      </c>
    </row>
    <row r="194" spans="1:29" ht="15" customHeight="1" x14ac:dyDescent="0.25">
      <c r="A194" s="74" t="str">
        <f>Unidades!A187</f>
        <v>E-031</v>
      </c>
      <c r="B194" s="75" t="str">
        <f>Unidades!B187</f>
        <v>T5</v>
      </c>
      <c r="C194" s="75" t="str">
        <f>Unidades!C187</f>
        <v>Fase 1</v>
      </c>
      <c r="D194" s="76">
        <f>Unidades!H187</f>
        <v>130.04400000000001</v>
      </c>
      <c r="E194" s="76">
        <f>Unidades!I187</f>
        <v>91.53</v>
      </c>
      <c r="F194" s="50">
        <v>581.95000000000005</v>
      </c>
      <c r="G194" s="72">
        <f t="shared" si="10"/>
        <v>17458.5</v>
      </c>
      <c r="H194" s="72">
        <f t="shared" si="11"/>
        <v>247083.60000000003</v>
      </c>
      <c r="I194" s="72">
        <f t="shared" si="12"/>
        <v>64071</v>
      </c>
      <c r="J194" s="51">
        <f t="shared" si="13"/>
        <v>328613.10000000003</v>
      </c>
      <c r="K194" s="77">
        <f t="shared" si="14"/>
        <v>1483.0851092637224</v>
      </c>
      <c r="AC194" s="94" t="s">
        <v>622</v>
      </c>
    </row>
    <row r="195" spans="1:29" ht="15" customHeight="1" x14ac:dyDescent="0.25">
      <c r="A195" s="74" t="str">
        <f>Unidades!A188</f>
        <v>E-032</v>
      </c>
      <c r="B195" s="75" t="str">
        <f>Unidades!B188</f>
        <v>T5</v>
      </c>
      <c r="C195" s="75" t="str">
        <f>Unidades!C188</f>
        <v>Fase 1</v>
      </c>
      <c r="D195" s="76">
        <f>Unidades!H188</f>
        <v>130.04400000000001</v>
      </c>
      <c r="E195" s="76">
        <f>Unidades!I188</f>
        <v>91.53</v>
      </c>
      <c r="F195" s="50">
        <v>523.19000000000005</v>
      </c>
      <c r="G195" s="72">
        <f t="shared" si="10"/>
        <v>15695.7</v>
      </c>
      <c r="H195" s="72">
        <f t="shared" si="11"/>
        <v>247083.60000000003</v>
      </c>
      <c r="I195" s="72">
        <f t="shared" si="12"/>
        <v>64071</v>
      </c>
      <c r="J195" s="51">
        <f t="shared" si="13"/>
        <v>326850.30000000005</v>
      </c>
      <c r="K195" s="77">
        <f t="shared" si="14"/>
        <v>1475.129302174443</v>
      </c>
      <c r="AC195" s="94" t="s">
        <v>622</v>
      </c>
    </row>
    <row r="196" spans="1:29" ht="15" customHeight="1" x14ac:dyDescent="0.25">
      <c r="A196" s="74" t="str">
        <f>Unidades!A189</f>
        <v>E-033</v>
      </c>
      <c r="B196" s="75" t="str">
        <f>Unidades!B189</f>
        <v>T5</v>
      </c>
      <c r="C196" s="75" t="str">
        <f>Unidades!C189</f>
        <v>Fase 1</v>
      </c>
      <c r="D196" s="76">
        <f>Unidades!H189</f>
        <v>130.04400000000001</v>
      </c>
      <c r="E196" s="76">
        <f>Unidades!I189</f>
        <v>91.53</v>
      </c>
      <c r="F196" s="50">
        <v>631.47</v>
      </c>
      <c r="G196" s="72">
        <f t="shared" si="10"/>
        <v>18944.100000000002</v>
      </c>
      <c r="H196" s="72">
        <f t="shared" si="11"/>
        <v>247083.60000000003</v>
      </c>
      <c r="I196" s="72">
        <f t="shared" si="12"/>
        <v>64071</v>
      </c>
      <c r="J196" s="51">
        <f t="shared" si="13"/>
        <v>330098.7</v>
      </c>
      <c r="K196" s="77">
        <f t="shared" si="14"/>
        <v>1489.7898670421619</v>
      </c>
      <c r="AC196" s="94" t="s">
        <v>616</v>
      </c>
    </row>
    <row r="197" spans="1:29" ht="15" customHeight="1" x14ac:dyDescent="0.25">
      <c r="A197" s="74" t="str">
        <f>Unidades!A190</f>
        <v>E-034</v>
      </c>
      <c r="B197" s="75" t="str">
        <f>Unidades!B190</f>
        <v>T5</v>
      </c>
      <c r="C197" s="75" t="str">
        <f>Unidades!C190</f>
        <v>Fase 1</v>
      </c>
      <c r="D197" s="76">
        <f>Unidades!H190</f>
        <v>130.04400000000001</v>
      </c>
      <c r="E197" s="76">
        <f>Unidades!I190</f>
        <v>91.53</v>
      </c>
      <c r="F197" s="50">
        <v>587.53</v>
      </c>
      <c r="G197" s="72">
        <f t="shared" si="10"/>
        <v>17625.899999999998</v>
      </c>
      <c r="H197" s="72">
        <f t="shared" si="11"/>
        <v>247083.60000000003</v>
      </c>
      <c r="I197" s="72">
        <f t="shared" si="12"/>
        <v>64071</v>
      </c>
      <c r="J197" s="51">
        <f t="shared" si="13"/>
        <v>328780.50000000006</v>
      </c>
      <c r="K197" s="77">
        <f t="shared" si="14"/>
        <v>1483.8406130683204</v>
      </c>
      <c r="AC197" s="94" t="s">
        <v>622</v>
      </c>
    </row>
    <row r="198" spans="1:29" ht="15" customHeight="1" x14ac:dyDescent="0.25">
      <c r="A198" s="74" t="str">
        <f>Unidades!A191</f>
        <v>E-035</v>
      </c>
      <c r="B198" s="75" t="str">
        <f>Unidades!B191</f>
        <v>T5</v>
      </c>
      <c r="C198" s="75" t="str">
        <f>Unidades!C191</f>
        <v>Fase 1</v>
      </c>
      <c r="D198" s="76">
        <f>Unidades!H191</f>
        <v>130.04400000000001</v>
      </c>
      <c r="E198" s="76">
        <f>Unidades!I191</f>
        <v>91.53</v>
      </c>
      <c r="F198" s="50">
        <v>624.05999999999995</v>
      </c>
      <c r="G198" s="72">
        <f t="shared" si="10"/>
        <v>18721.8</v>
      </c>
      <c r="H198" s="72">
        <f t="shared" si="11"/>
        <v>247083.60000000003</v>
      </c>
      <c r="I198" s="72">
        <f t="shared" si="12"/>
        <v>64071</v>
      </c>
      <c r="J198" s="51">
        <f t="shared" si="13"/>
        <v>329876.40000000002</v>
      </c>
      <c r="K198" s="77">
        <f t="shared" si="14"/>
        <v>1488.7865904844432</v>
      </c>
      <c r="AC198" s="94" t="s">
        <v>627</v>
      </c>
    </row>
    <row r="199" spans="1:29" ht="15" customHeight="1" x14ac:dyDescent="0.25">
      <c r="A199" s="74" t="str">
        <f>Unidades!A192</f>
        <v>E-036</v>
      </c>
      <c r="B199" s="75" t="str">
        <f>Unidades!B192</f>
        <v>T5</v>
      </c>
      <c r="C199" s="75" t="str">
        <f>Unidades!C192</f>
        <v>Fase 1</v>
      </c>
      <c r="D199" s="76">
        <f>Unidades!H192</f>
        <v>130.04400000000001</v>
      </c>
      <c r="E199" s="76">
        <f>Unidades!I192</f>
        <v>91.53</v>
      </c>
      <c r="F199" s="50">
        <v>619.19000000000005</v>
      </c>
      <c r="G199" s="72">
        <f t="shared" si="10"/>
        <v>18575.7</v>
      </c>
      <c r="H199" s="72">
        <f t="shared" si="11"/>
        <v>247083.60000000003</v>
      </c>
      <c r="I199" s="72">
        <f t="shared" si="12"/>
        <v>64071</v>
      </c>
      <c r="J199" s="51">
        <f t="shared" si="13"/>
        <v>329730.30000000005</v>
      </c>
      <c r="K199" s="77">
        <f t="shared" si="14"/>
        <v>1488.1272170922582</v>
      </c>
      <c r="AC199" s="94" t="s">
        <v>622</v>
      </c>
    </row>
    <row r="200" spans="1:29" ht="15" customHeight="1" x14ac:dyDescent="0.25">
      <c r="A200" s="74" t="str">
        <f>Unidades!A193</f>
        <v>E-037</v>
      </c>
      <c r="B200" s="75" t="str">
        <f>Unidades!B193</f>
        <v>T5</v>
      </c>
      <c r="C200" s="75" t="str">
        <f>Unidades!C193</f>
        <v>Fase 1</v>
      </c>
      <c r="D200" s="76">
        <f>Unidades!H193</f>
        <v>130.04400000000001</v>
      </c>
      <c r="E200" s="76">
        <f>Unidades!I193</f>
        <v>91.53</v>
      </c>
      <c r="F200" s="50">
        <v>649.80999999999995</v>
      </c>
      <c r="G200" s="72">
        <f t="shared" si="10"/>
        <v>19494.3</v>
      </c>
      <c r="H200" s="72">
        <f t="shared" si="11"/>
        <v>247083.60000000003</v>
      </c>
      <c r="I200" s="72">
        <f t="shared" si="12"/>
        <v>64071</v>
      </c>
      <c r="J200" s="51">
        <f t="shared" si="13"/>
        <v>330648.90000000002</v>
      </c>
      <c r="K200" s="77">
        <f t="shared" si="14"/>
        <v>1492.2730103712529</v>
      </c>
      <c r="AC200" s="94" t="s">
        <v>622</v>
      </c>
    </row>
    <row r="201" spans="1:29" ht="15" customHeight="1" x14ac:dyDescent="0.25">
      <c r="A201" s="74" t="str">
        <f>Unidades!A194</f>
        <v>E-038</v>
      </c>
      <c r="B201" s="75" t="str">
        <f>Unidades!B194</f>
        <v>T5</v>
      </c>
      <c r="C201" s="75" t="str">
        <f>Unidades!C194</f>
        <v>Fase 1</v>
      </c>
      <c r="D201" s="76">
        <f>Unidades!H194</f>
        <v>130.04400000000001</v>
      </c>
      <c r="E201" s="76">
        <f>Unidades!I194</f>
        <v>91.53</v>
      </c>
      <c r="F201" s="50">
        <v>706.38</v>
      </c>
      <c r="G201" s="72">
        <f t="shared" si="10"/>
        <v>21191.4</v>
      </c>
      <c r="H201" s="72">
        <f t="shared" si="11"/>
        <v>247083.60000000003</v>
      </c>
      <c r="I201" s="72">
        <f t="shared" si="12"/>
        <v>64071</v>
      </c>
      <c r="J201" s="51">
        <f t="shared" si="13"/>
        <v>332346.00000000006</v>
      </c>
      <c r="K201" s="77">
        <f t="shared" si="14"/>
        <v>1499.9323025264698</v>
      </c>
      <c r="AC201" s="94" t="s">
        <v>627</v>
      </c>
    </row>
    <row r="202" spans="1:29" ht="15" customHeight="1" x14ac:dyDescent="0.25">
      <c r="A202" s="74" t="str">
        <f>Unidades!A195</f>
        <v>E-039</v>
      </c>
      <c r="B202" s="75" t="str">
        <f>Unidades!B195</f>
        <v>T5</v>
      </c>
      <c r="C202" s="75" t="str">
        <f>Unidades!C195</f>
        <v>Fase 1</v>
      </c>
      <c r="D202" s="76">
        <f>Unidades!H195</f>
        <v>130.04400000000001</v>
      </c>
      <c r="E202" s="76">
        <f>Unidades!I195</f>
        <v>91.53</v>
      </c>
      <c r="F202" s="50">
        <v>598.11</v>
      </c>
      <c r="G202" s="72">
        <f t="shared" ref="G202:G265" si="15">F202*$B$5</f>
        <v>17943.3</v>
      </c>
      <c r="H202" s="72">
        <f t="shared" ref="H202:H242" si="16">D202*$B$6</f>
        <v>247083.60000000003</v>
      </c>
      <c r="I202" s="72">
        <f t="shared" ref="I202:I242" si="17">E202*$B$7</f>
        <v>64071</v>
      </c>
      <c r="J202" s="51">
        <f t="shared" ref="J202:J265" si="18">G202+H202+I202</f>
        <v>329097.90000000002</v>
      </c>
      <c r="K202" s="77">
        <f t="shared" ref="K202:K265" si="19">IFERROR(J202/(D202+E202),"")</f>
        <v>1485.2730916082212</v>
      </c>
      <c r="AC202" s="94" t="s">
        <v>616</v>
      </c>
    </row>
    <row r="203" spans="1:29" ht="15" customHeight="1" x14ac:dyDescent="0.25">
      <c r="A203" s="74" t="str">
        <f>Unidades!A196</f>
        <v>E-040</v>
      </c>
      <c r="B203" s="75" t="str">
        <f>Unidades!B196</f>
        <v>T5</v>
      </c>
      <c r="C203" s="75" t="str">
        <f>Unidades!C196</f>
        <v>Fase 1</v>
      </c>
      <c r="D203" s="76">
        <f>Unidades!H196</f>
        <v>130.04400000000001</v>
      </c>
      <c r="E203" s="76">
        <f>Unidades!I196</f>
        <v>91.53</v>
      </c>
      <c r="F203" s="50">
        <v>600.45000000000005</v>
      </c>
      <c r="G203" s="72">
        <f t="shared" si="15"/>
        <v>18013.5</v>
      </c>
      <c r="H203" s="72">
        <f t="shared" si="16"/>
        <v>247083.60000000003</v>
      </c>
      <c r="I203" s="72">
        <f t="shared" si="17"/>
        <v>64071</v>
      </c>
      <c r="J203" s="51">
        <f t="shared" si="18"/>
        <v>329168.10000000003</v>
      </c>
      <c r="K203" s="77">
        <f t="shared" si="19"/>
        <v>1485.589915784343</v>
      </c>
      <c r="AC203" s="94" t="s">
        <v>627</v>
      </c>
    </row>
    <row r="204" spans="1:29" ht="15" customHeight="1" x14ac:dyDescent="0.25">
      <c r="A204" s="74" t="str">
        <f>Unidades!A197</f>
        <v>E-041</v>
      </c>
      <c r="B204" s="75" t="str">
        <f>Unidades!B197</f>
        <v>T5</v>
      </c>
      <c r="C204" s="75" t="str">
        <f>Unidades!C197</f>
        <v>Fase 1</v>
      </c>
      <c r="D204" s="76">
        <f>Unidades!H197</f>
        <v>130.04400000000001</v>
      </c>
      <c r="E204" s="76">
        <f>Unidades!I197</f>
        <v>91.53</v>
      </c>
      <c r="F204" s="50">
        <v>543.86</v>
      </c>
      <c r="G204" s="72">
        <f t="shared" si="15"/>
        <v>16315.800000000001</v>
      </c>
      <c r="H204" s="72">
        <f t="shared" si="16"/>
        <v>247083.60000000003</v>
      </c>
      <c r="I204" s="72">
        <f t="shared" si="17"/>
        <v>64071</v>
      </c>
      <c r="J204" s="51">
        <f t="shared" si="18"/>
        <v>327470.40000000002</v>
      </c>
      <c r="K204" s="77">
        <f t="shared" si="19"/>
        <v>1477.9279157301851</v>
      </c>
      <c r="AC204" s="94" t="s">
        <v>616</v>
      </c>
    </row>
    <row r="205" spans="1:29" ht="15" customHeight="1" x14ac:dyDescent="0.25">
      <c r="A205" s="74" t="str">
        <f>Unidades!A198</f>
        <v>E-042</v>
      </c>
      <c r="B205" s="75" t="str">
        <f>Unidades!B198</f>
        <v>T5</v>
      </c>
      <c r="C205" s="75" t="str">
        <f>Unidades!C198</f>
        <v>Fase 1</v>
      </c>
      <c r="D205" s="76">
        <f>Unidades!H198</f>
        <v>130.04400000000001</v>
      </c>
      <c r="E205" s="76">
        <f>Unidades!I198</f>
        <v>91.53</v>
      </c>
      <c r="F205" s="50">
        <v>514.86</v>
      </c>
      <c r="G205" s="72">
        <f t="shared" si="15"/>
        <v>15445.800000000001</v>
      </c>
      <c r="H205" s="72">
        <f t="shared" si="16"/>
        <v>247083.60000000003</v>
      </c>
      <c r="I205" s="72">
        <f t="shared" si="17"/>
        <v>64071</v>
      </c>
      <c r="J205" s="51">
        <f t="shared" si="18"/>
        <v>326600.40000000002</v>
      </c>
      <c r="K205" s="77">
        <f t="shared" si="19"/>
        <v>1474.0014622654282</v>
      </c>
      <c r="AC205" s="94" t="s">
        <v>627</v>
      </c>
    </row>
    <row r="206" spans="1:29" ht="15" customHeight="1" x14ac:dyDescent="0.25">
      <c r="A206" s="74" t="str">
        <f>Unidades!A199</f>
        <v>E-043</v>
      </c>
      <c r="B206" s="75" t="str">
        <f>Unidades!B199</f>
        <v>T5</v>
      </c>
      <c r="C206" s="75" t="str">
        <f>Unidades!C199</f>
        <v>Fase 1</v>
      </c>
      <c r="D206" s="76">
        <f>Unidades!H199</f>
        <v>130.04400000000001</v>
      </c>
      <c r="E206" s="76">
        <f>Unidades!I199</f>
        <v>91.53</v>
      </c>
      <c r="F206" s="50">
        <v>617.64</v>
      </c>
      <c r="G206" s="72">
        <f t="shared" si="15"/>
        <v>18529.2</v>
      </c>
      <c r="H206" s="72">
        <f t="shared" si="16"/>
        <v>247083.60000000003</v>
      </c>
      <c r="I206" s="72">
        <f t="shared" si="17"/>
        <v>64071</v>
      </c>
      <c r="J206" s="51">
        <f t="shared" si="18"/>
        <v>329683.80000000005</v>
      </c>
      <c r="K206" s="77">
        <f t="shared" si="19"/>
        <v>1487.9173549243144</v>
      </c>
      <c r="AC206" s="94" t="s">
        <v>616</v>
      </c>
    </row>
    <row r="207" spans="1:29" ht="15" customHeight="1" x14ac:dyDescent="0.25">
      <c r="A207" s="74" t="str">
        <f>Unidades!A200</f>
        <v>E-044</v>
      </c>
      <c r="B207" s="75" t="str">
        <f>Unidades!B200</f>
        <v>T5</v>
      </c>
      <c r="C207" s="75" t="str">
        <f>Unidades!C200</f>
        <v>Fase 1</v>
      </c>
      <c r="D207" s="76">
        <f>Unidades!H200</f>
        <v>130.04400000000001</v>
      </c>
      <c r="E207" s="76">
        <f>Unidades!I200</f>
        <v>91.53</v>
      </c>
      <c r="F207" s="50">
        <v>640.51</v>
      </c>
      <c r="G207" s="72">
        <f t="shared" si="15"/>
        <v>19215.3</v>
      </c>
      <c r="H207" s="72">
        <f t="shared" si="16"/>
        <v>247083.60000000003</v>
      </c>
      <c r="I207" s="72">
        <f t="shared" si="17"/>
        <v>64071</v>
      </c>
      <c r="J207" s="51">
        <f t="shared" si="18"/>
        <v>330369.90000000002</v>
      </c>
      <c r="K207" s="77">
        <f t="shared" si="19"/>
        <v>1491.0138373635896</v>
      </c>
      <c r="AC207" s="94" t="s">
        <v>616</v>
      </c>
    </row>
    <row r="208" spans="1:29" ht="15" customHeight="1" x14ac:dyDescent="0.25">
      <c r="A208" s="74" t="str">
        <f>Unidades!A201</f>
        <v>E-045</v>
      </c>
      <c r="B208" s="75" t="str">
        <f>Unidades!B201</f>
        <v>T5</v>
      </c>
      <c r="C208" s="75" t="str">
        <f>Unidades!C201</f>
        <v>Fase 1</v>
      </c>
      <c r="D208" s="76">
        <f>Unidades!H201</f>
        <v>130.04400000000001</v>
      </c>
      <c r="E208" s="76">
        <f>Unidades!I201</f>
        <v>91.53</v>
      </c>
      <c r="F208" s="50">
        <v>716.83</v>
      </c>
      <c r="G208" s="72">
        <f t="shared" si="15"/>
        <v>21504.9</v>
      </c>
      <c r="H208" s="72">
        <f t="shared" si="16"/>
        <v>247083.60000000003</v>
      </c>
      <c r="I208" s="72">
        <f t="shared" si="17"/>
        <v>64071</v>
      </c>
      <c r="J208" s="51">
        <f t="shared" si="18"/>
        <v>332659.50000000006</v>
      </c>
      <c r="K208" s="77">
        <f t="shared" si="19"/>
        <v>1501.347179723253</v>
      </c>
      <c r="AC208" s="94" t="s">
        <v>622</v>
      </c>
    </row>
    <row r="209" spans="1:29" ht="15" customHeight="1" x14ac:dyDescent="0.25">
      <c r="A209" s="74" t="str">
        <f>Unidades!A202</f>
        <v>E-046</v>
      </c>
      <c r="B209" s="75" t="str">
        <f>Unidades!B202</f>
        <v>T5</v>
      </c>
      <c r="C209" s="75" t="str">
        <f>Unidades!C202</f>
        <v>Fase 1</v>
      </c>
      <c r="D209" s="76">
        <f>Unidades!H202</f>
        <v>130.04400000000001</v>
      </c>
      <c r="E209" s="76">
        <f>Unidades!I202</f>
        <v>91.53</v>
      </c>
      <c r="F209" s="50">
        <v>629.35</v>
      </c>
      <c r="G209" s="72">
        <f t="shared" si="15"/>
        <v>18880.5</v>
      </c>
      <c r="H209" s="72">
        <f t="shared" si="16"/>
        <v>247083.60000000003</v>
      </c>
      <c r="I209" s="72">
        <f t="shared" si="17"/>
        <v>64071</v>
      </c>
      <c r="J209" s="51">
        <f t="shared" si="18"/>
        <v>330035.10000000003</v>
      </c>
      <c r="K209" s="77">
        <f t="shared" si="19"/>
        <v>1489.5028297543936</v>
      </c>
      <c r="AC209" s="94" t="s">
        <v>622</v>
      </c>
    </row>
    <row r="210" spans="1:29" ht="15" customHeight="1" x14ac:dyDescent="0.25">
      <c r="A210" s="74" t="str">
        <f>Unidades!A203</f>
        <v>E-047</v>
      </c>
      <c r="B210" s="75" t="str">
        <f>Unidades!B203</f>
        <v>T5</v>
      </c>
      <c r="C210" s="75" t="str">
        <f>Unidades!C203</f>
        <v>Fase 1</v>
      </c>
      <c r="D210" s="76">
        <f>Unidades!H203</f>
        <v>130.04400000000001</v>
      </c>
      <c r="E210" s="76">
        <f>Unidades!I203</f>
        <v>91.53</v>
      </c>
      <c r="F210" s="50">
        <v>667.75</v>
      </c>
      <c r="G210" s="72">
        <f t="shared" si="15"/>
        <v>20032.5</v>
      </c>
      <c r="H210" s="72">
        <f t="shared" si="16"/>
        <v>247083.60000000003</v>
      </c>
      <c r="I210" s="72">
        <f t="shared" si="17"/>
        <v>64071</v>
      </c>
      <c r="J210" s="51">
        <f t="shared" si="18"/>
        <v>331187.10000000003</v>
      </c>
      <c r="K210" s="77">
        <f t="shared" si="19"/>
        <v>1494.7019957215198</v>
      </c>
      <c r="AC210" s="94" t="s">
        <v>622</v>
      </c>
    </row>
    <row r="211" spans="1:29" ht="15" customHeight="1" x14ac:dyDescent="0.25">
      <c r="A211" s="74" t="str">
        <f>Unidades!A204</f>
        <v>E-048</v>
      </c>
      <c r="B211" s="75" t="str">
        <f>Unidades!B204</f>
        <v>T5</v>
      </c>
      <c r="C211" s="75" t="str">
        <f>Unidades!C204</f>
        <v>Fase 1</v>
      </c>
      <c r="D211" s="76">
        <f>Unidades!H204</f>
        <v>130.04400000000001</v>
      </c>
      <c r="E211" s="76">
        <f>Unidades!I204</f>
        <v>91.53</v>
      </c>
      <c r="F211" s="50">
        <v>666.58</v>
      </c>
      <c r="G211" s="72">
        <f t="shared" si="15"/>
        <v>19997.400000000001</v>
      </c>
      <c r="H211" s="72">
        <f t="shared" si="16"/>
        <v>247083.60000000003</v>
      </c>
      <c r="I211" s="72">
        <f t="shared" si="17"/>
        <v>64071</v>
      </c>
      <c r="J211" s="51">
        <f t="shared" si="18"/>
        <v>331152.00000000006</v>
      </c>
      <c r="K211" s="77">
        <f t="shared" si="19"/>
        <v>1494.5435836334589</v>
      </c>
      <c r="AC211" s="94" t="s">
        <v>627</v>
      </c>
    </row>
    <row r="212" spans="1:29" ht="15" customHeight="1" x14ac:dyDescent="0.25">
      <c r="A212" s="74" t="str">
        <f>Unidades!A205</f>
        <v>E-049</v>
      </c>
      <c r="B212" s="75" t="str">
        <f>Unidades!B205</f>
        <v>T5</v>
      </c>
      <c r="C212" s="75" t="str">
        <f>Unidades!C205</f>
        <v>Fase 1</v>
      </c>
      <c r="D212" s="76">
        <f>Unidades!H205</f>
        <v>130.04400000000001</v>
      </c>
      <c r="E212" s="76">
        <f>Unidades!I205</f>
        <v>91.53</v>
      </c>
      <c r="F212" s="50">
        <v>610.66</v>
      </c>
      <c r="G212" s="72">
        <f t="shared" si="15"/>
        <v>18319.8</v>
      </c>
      <c r="H212" s="72">
        <f t="shared" si="16"/>
        <v>247083.60000000003</v>
      </c>
      <c r="I212" s="72">
        <f t="shared" si="17"/>
        <v>64071</v>
      </c>
      <c r="J212" s="51">
        <f t="shared" si="18"/>
        <v>329474.40000000002</v>
      </c>
      <c r="K212" s="77">
        <f t="shared" si="19"/>
        <v>1486.9722981938314</v>
      </c>
      <c r="AC212" s="94" t="s">
        <v>627</v>
      </c>
    </row>
    <row r="213" spans="1:29" ht="15" customHeight="1" x14ac:dyDescent="0.25">
      <c r="A213" s="74" t="str">
        <f>Unidades!A206</f>
        <v>E-050</v>
      </c>
      <c r="B213" s="75" t="str">
        <f>Unidades!B206</f>
        <v>T5</v>
      </c>
      <c r="C213" s="75" t="str">
        <f>Unidades!C206</f>
        <v>Fase 1</v>
      </c>
      <c r="D213" s="76">
        <f>Unidades!H206</f>
        <v>130.04400000000001</v>
      </c>
      <c r="E213" s="76">
        <f>Unidades!I206</f>
        <v>91.53</v>
      </c>
      <c r="F213" s="50">
        <v>528.73</v>
      </c>
      <c r="G213" s="72">
        <f t="shared" si="15"/>
        <v>15861.900000000001</v>
      </c>
      <c r="H213" s="72">
        <f t="shared" si="16"/>
        <v>247083.60000000003</v>
      </c>
      <c r="I213" s="72">
        <f t="shared" si="17"/>
        <v>64071</v>
      </c>
      <c r="J213" s="51">
        <f t="shared" si="18"/>
        <v>327016.50000000006</v>
      </c>
      <c r="K213" s="77">
        <f t="shared" si="19"/>
        <v>1475.8793901811587</v>
      </c>
      <c r="AC213" s="94" t="s">
        <v>622</v>
      </c>
    </row>
    <row r="214" spans="1:29" ht="15" customHeight="1" x14ac:dyDescent="0.25">
      <c r="A214" s="74" t="str">
        <f>Unidades!A207</f>
        <v>E-051</v>
      </c>
      <c r="B214" s="75" t="str">
        <f>Unidades!B207</f>
        <v>T5</v>
      </c>
      <c r="C214" s="75" t="str">
        <f>Unidades!C207</f>
        <v>Fase 1</v>
      </c>
      <c r="D214" s="76">
        <f>Unidades!H207</f>
        <v>130.04400000000001</v>
      </c>
      <c r="E214" s="76">
        <f>Unidades!I207</f>
        <v>91.53</v>
      </c>
      <c r="F214" s="50">
        <v>635.74</v>
      </c>
      <c r="G214" s="72">
        <f t="shared" si="15"/>
        <v>19072.2</v>
      </c>
      <c r="H214" s="72">
        <f t="shared" si="16"/>
        <v>247083.60000000003</v>
      </c>
      <c r="I214" s="72">
        <f t="shared" si="17"/>
        <v>64071</v>
      </c>
      <c r="J214" s="51">
        <f t="shared" si="18"/>
        <v>330226.80000000005</v>
      </c>
      <c r="K214" s="77">
        <f t="shared" si="19"/>
        <v>1490.3680034661108</v>
      </c>
      <c r="AC214" s="94" t="s">
        <v>622</v>
      </c>
    </row>
    <row r="215" spans="1:29" ht="15" customHeight="1" x14ac:dyDescent="0.25">
      <c r="A215" s="74" t="str">
        <f>Unidades!A208</f>
        <v>E-052</v>
      </c>
      <c r="B215" s="75" t="str">
        <f>Unidades!B208</f>
        <v>T5</v>
      </c>
      <c r="C215" s="75" t="str">
        <f>Unidades!C208</f>
        <v>Fase 1</v>
      </c>
      <c r="D215" s="76">
        <f>Unidades!H208</f>
        <v>130.04400000000001</v>
      </c>
      <c r="E215" s="76">
        <f>Unidades!I208</f>
        <v>91.53</v>
      </c>
      <c r="F215" s="50">
        <v>571.20000000000005</v>
      </c>
      <c r="G215" s="72">
        <f t="shared" si="15"/>
        <v>17136</v>
      </c>
      <c r="H215" s="72">
        <f t="shared" si="16"/>
        <v>247083.60000000003</v>
      </c>
      <c r="I215" s="72">
        <f t="shared" si="17"/>
        <v>64071</v>
      </c>
      <c r="J215" s="51">
        <f t="shared" si="18"/>
        <v>328290.60000000003</v>
      </c>
      <c r="K215" s="77">
        <f t="shared" si="19"/>
        <v>1481.6296135828211</v>
      </c>
      <c r="AC215" s="94" t="s">
        <v>622</v>
      </c>
    </row>
    <row r="216" spans="1:29" ht="15" customHeight="1" x14ac:dyDescent="0.25">
      <c r="A216" s="74" t="str">
        <f>Unidades!A209</f>
        <v>E-053</v>
      </c>
      <c r="B216" s="75" t="str">
        <f>Unidades!B209</f>
        <v>T5</v>
      </c>
      <c r="C216" s="75" t="str">
        <f>Unidades!C209</f>
        <v>Fase 1</v>
      </c>
      <c r="D216" s="76">
        <f>Unidades!H209</f>
        <v>130.04400000000001</v>
      </c>
      <c r="E216" s="76">
        <f>Unidades!I209</f>
        <v>91.53</v>
      </c>
      <c r="F216" s="50">
        <v>594.76</v>
      </c>
      <c r="G216" s="72">
        <f t="shared" si="15"/>
        <v>17842.8</v>
      </c>
      <c r="H216" s="72">
        <f t="shared" si="16"/>
        <v>247083.60000000003</v>
      </c>
      <c r="I216" s="72">
        <f t="shared" si="17"/>
        <v>64071</v>
      </c>
      <c r="J216" s="51">
        <f t="shared" si="18"/>
        <v>328997.40000000002</v>
      </c>
      <c r="K216" s="77">
        <f t="shared" si="19"/>
        <v>1484.8195185355682</v>
      </c>
      <c r="AC216" s="94" t="s">
        <v>622</v>
      </c>
    </row>
    <row r="217" spans="1:29" ht="15" customHeight="1" x14ac:dyDescent="0.25">
      <c r="A217" s="74" t="str">
        <f>Unidades!A210</f>
        <v>E-054</v>
      </c>
      <c r="B217" s="75" t="str">
        <f>Unidades!B210</f>
        <v>T5</v>
      </c>
      <c r="C217" s="75" t="str">
        <f>Unidades!C210</f>
        <v>Fase 1</v>
      </c>
      <c r="D217" s="76">
        <f>Unidades!H210</f>
        <v>130.04400000000001</v>
      </c>
      <c r="E217" s="76">
        <f>Unidades!I210</f>
        <v>91.53</v>
      </c>
      <c r="F217" s="50">
        <v>571.22</v>
      </c>
      <c r="G217" s="72">
        <f t="shared" si="15"/>
        <v>17136.600000000002</v>
      </c>
      <c r="H217" s="72">
        <f t="shared" si="16"/>
        <v>247083.60000000003</v>
      </c>
      <c r="I217" s="72">
        <f t="shared" si="17"/>
        <v>64071</v>
      </c>
      <c r="J217" s="51">
        <f t="shared" si="18"/>
        <v>328291.20000000001</v>
      </c>
      <c r="K217" s="77">
        <f t="shared" si="19"/>
        <v>1481.6323214817623</v>
      </c>
      <c r="AC217" s="94" t="s">
        <v>622</v>
      </c>
    </row>
    <row r="218" spans="1:29" ht="15" customHeight="1" x14ac:dyDescent="0.25">
      <c r="A218" s="74" t="str">
        <f>Unidades!A211</f>
        <v>E-055</v>
      </c>
      <c r="B218" s="75" t="str">
        <f>Unidades!B211</f>
        <v>T5</v>
      </c>
      <c r="C218" s="75" t="str">
        <f>Unidades!C211</f>
        <v>Fase 1</v>
      </c>
      <c r="D218" s="76">
        <f>Unidades!H211</f>
        <v>130.04400000000001</v>
      </c>
      <c r="E218" s="76">
        <f>Unidades!I211</f>
        <v>91.53</v>
      </c>
      <c r="F218" s="50">
        <v>530.14</v>
      </c>
      <c r="G218" s="72">
        <f t="shared" si="15"/>
        <v>15904.199999999999</v>
      </c>
      <c r="H218" s="72">
        <f t="shared" si="16"/>
        <v>247083.60000000003</v>
      </c>
      <c r="I218" s="72">
        <f t="shared" si="17"/>
        <v>64071</v>
      </c>
      <c r="J218" s="51">
        <f t="shared" si="18"/>
        <v>327058.80000000005</v>
      </c>
      <c r="K218" s="77">
        <f t="shared" si="19"/>
        <v>1476.0702970565139</v>
      </c>
      <c r="AC218" s="94" t="s">
        <v>616</v>
      </c>
    </row>
    <row r="219" spans="1:29" ht="15" customHeight="1" x14ac:dyDescent="0.25">
      <c r="A219" s="74" t="str">
        <f>Unidades!A212</f>
        <v>E-056</v>
      </c>
      <c r="B219" s="75" t="str">
        <f>Unidades!B212</f>
        <v>T5</v>
      </c>
      <c r="C219" s="75" t="str">
        <f>Unidades!C212</f>
        <v>Fase 1</v>
      </c>
      <c r="D219" s="76">
        <f>Unidades!H212</f>
        <v>130.04400000000001</v>
      </c>
      <c r="E219" s="76">
        <f>Unidades!I212</f>
        <v>91.53</v>
      </c>
      <c r="F219" s="50">
        <v>624.99</v>
      </c>
      <c r="G219" s="72">
        <f t="shared" si="15"/>
        <v>18749.7</v>
      </c>
      <c r="H219" s="72">
        <f t="shared" si="16"/>
        <v>247083.60000000003</v>
      </c>
      <c r="I219" s="72">
        <f t="shared" si="17"/>
        <v>64071</v>
      </c>
      <c r="J219" s="51">
        <f t="shared" si="18"/>
        <v>329904.30000000005</v>
      </c>
      <c r="K219" s="77">
        <f t="shared" si="19"/>
        <v>1488.9125077852095</v>
      </c>
      <c r="AC219" s="94" t="s">
        <v>627</v>
      </c>
    </row>
    <row r="220" spans="1:29" ht="15" customHeight="1" x14ac:dyDescent="0.25">
      <c r="A220" s="74" t="str">
        <f>Unidades!A213</f>
        <v>E-057</v>
      </c>
      <c r="B220" s="75" t="str">
        <f>Unidades!B213</f>
        <v>T5</v>
      </c>
      <c r="C220" s="75" t="str">
        <f>Unidades!C213</f>
        <v>Fase 2</v>
      </c>
      <c r="D220" s="76">
        <f>Unidades!H213</f>
        <v>130.04400000000001</v>
      </c>
      <c r="E220" s="76">
        <f>Unidades!I213</f>
        <v>91.53</v>
      </c>
      <c r="F220" s="50">
        <v>795.94</v>
      </c>
      <c r="G220" s="72">
        <f t="shared" si="15"/>
        <v>23878.2</v>
      </c>
      <c r="H220" s="72">
        <f t="shared" si="16"/>
        <v>247083.60000000003</v>
      </c>
      <c r="I220" s="72">
        <f t="shared" si="17"/>
        <v>64071</v>
      </c>
      <c r="J220" s="51">
        <f t="shared" si="18"/>
        <v>335032.80000000005</v>
      </c>
      <c r="K220" s="77">
        <f t="shared" si="19"/>
        <v>1512.058273985215</v>
      </c>
      <c r="AC220" s="94" t="s">
        <v>622</v>
      </c>
    </row>
    <row r="221" spans="1:29" ht="15" customHeight="1" x14ac:dyDescent="0.25">
      <c r="A221" s="74" t="str">
        <f>Unidades!A214</f>
        <v>E-058</v>
      </c>
      <c r="B221" s="75" t="str">
        <f>Unidades!B214</f>
        <v>T5</v>
      </c>
      <c r="C221" s="75" t="str">
        <f>Unidades!C214</f>
        <v>Fase 2</v>
      </c>
      <c r="D221" s="76">
        <f>Unidades!H214</f>
        <v>130.04400000000001</v>
      </c>
      <c r="E221" s="76">
        <f>Unidades!I214</f>
        <v>91.53</v>
      </c>
      <c r="F221" s="50">
        <v>766.81</v>
      </c>
      <c r="G221" s="72">
        <f t="shared" si="15"/>
        <v>23004.3</v>
      </c>
      <c r="H221" s="72">
        <f t="shared" si="16"/>
        <v>247083.60000000003</v>
      </c>
      <c r="I221" s="72">
        <f t="shared" si="17"/>
        <v>64071</v>
      </c>
      <c r="J221" s="51">
        <f t="shared" si="18"/>
        <v>334158.90000000002</v>
      </c>
      <c r="K221" s="77">
        <f t="shared" si="19"/>
        <v>1508.1142191773404</v>
      </c>
      <c r="AC221" s="94" t="s">
        <v>616</v>
      </c>
    </row>
    <row r="222" spans="1:29" ht="15" customHeight="1" x14ac:dyDescent="0.25">
      <c r="A222" s="74" t="str">
        <f>Unidades!A215</f>
        <v>E-059</v>
      </c>
      <c r="B222" s="75" t="str">
        <f>Unidades!B215</f>
        <v>T5</v>
      </c>
      <c r="C222" s="75" t="str">
        <f>Unidades!C215</f>
        <v>Fase 2</v>
      </c>
      <c r="D222" s="76">
        <f>Unidades!H215</f>
        <v>130.04400000000001</v>
      </c>
      <c r="E222" s="76">
        <f>Unidades!I215</f>
        <v>91.53</v>
      </c>
      <c r="F222" s="50">
        <v>712.57</v>
      </c>
      <c r="G222" s="72">
        <f t="shared" si="15"/>
        <v>21377.100000000002</v>
      </c>
      <c r="H222" s="72">
        <f t="shared" si="16"/>
        <v>247083.60000000003</v>
      </c>
      <c r="I222" s="72">
        <f t="shared" si="17"/>
        <v>64071</v>
      </c>
      <c r="J222" s="51">
        <f t="shared" si="18"/>
        <v>332531.7</v>
      </c>
      <c r="K222" s="77">
        <f t="shared" si="19"/>
        <v>1500.7703972487745</v>
      </c>
      <c r="AC222" s="94" t="s">
        <v>627</v>
      </c>
    </row>
    <row r="223" spans="1:29" ht="15" customHeight="1" x14ac:dyDescent="0.25">
      <c r="A223" s="74" t="str">
        <f>Unidades!A216</f>
        <v>E-060</v>
      </c>
      <c r="B223" s="75" t="str">
        <f>Unidades!B216</f>
        <v>T5</v>
      </c>
      <c r="C223" s="75" t="str">
        <f>Unidades!C216</f>
        <v>Fase 2</v>
      </c>
      <c r="D223" s="76">
        <f>Unidades!H216</f>
        <v>130.04400000000001</v>
      </c>
      <c r="E223" s="76">
        <f>Unidades!I216</f>
        <v>91.53</v>
      </c>
      <c r="F223" s="50">
        <v>768.91</v>
      </c>
      <c r="G223" s="72">
        <f t="shared" si="15"/>
        <v>23067.3</v>
      </c>
      <c r="H223" s="72">
        <f t="shared" si="16"/>
        <v>247083.60000000003</v>
      </c>
      <c r="I223" s="72">
        <f t="shared" si="17"/>
        <v>64071</v>
      </c>
      <c r="J223" s="51">
        <f t="shared" si="18"/>
        <v>334221.90000000002</v>
      </c>
      <c r="K223" s="77">
        <f t="shared" si="19"/>
        <v>1508.3985485661676</v>
      </c>
      <c r="AC223" s="94" t="s">
        <v>622</v>
      </c>
    </row>
    <row r="224" spans="1:29" ht="15" customHeight="1" x14ac:dyDescent="0.25">
      <c r="A224" s="74" t="str">
        <f>Unidades!A217</f>
        <v>E-061</v>
      </c>
      <c r="B224" s="75" t="str">
        <f>Unidades!B217</f>
        <v>T5</v>
      </c>
      <c r="C224" s="75" t="str">
        <f>Unidades!C217</f>
        <v>Fase 2</v>
      </c>
      <c r="D224" s="76">
        <f>Unidades!H217</f>
        <v>130.04400000000001</v>
      </c>
      <c r="E224" s="76">
        <f>Unidades!I217</f>
        <v>91.53</v>
      </c>
      <c r="F224" s="50">
        <v>817.59</v>
      </c>
      <c r="G224" s="72">
        <f t="shared" si="15"/>
        <v>24527.7</v>
      </c>
      <c r="H224" s="72">
        <f t="shared" si="16"/>
        <v>247083.60000000003</v>
      </c>
      <c r="I224" s="72">
        <f t="shared" si="17"/>
        <v>64071</v>
      </c>
      <c r="J224" s="51">
        <f t="shared" si="18"/>
        <v>335682.30000000005</v>
      </c>
      <c r="K224" s="77">
        <f t="shared" si="19"/>
        <v>1514.9895745890765</v>
      </c>
      <c r="AC224" s="94" t="s">
        <v>622</v>
      </c>
    </row>
    <row r="225" spans="1:29" ht="15" customHeight="1" x14ac:dyDescent="0.25">
      <c r="A225" s="74" t="str">
        <f>Unidades!A218</f>
        <v>E-062</v>
      </c>
      <c r="B225" s="75" t="str">
        <f>Unidades!B218</f>
        <v>T5</v>
      </c>
      <c r="C225" s="75" t="str">
        <f>Unidades!C218</f>
        <v>Fase 2</v>
      </c>
      <c r="D225" s="76">
        <f>Unidades!H218</f>
        <v>130.04400000000001</v>
      </c>
      <c r="E225" s="76">
        <f>Unidades!I218</f>
        <v>91.53</v>
      </c>
      <c r="F225" s="50">
        <v>957.12</v>
      </c>
      <c r="G225" s="72">
        <f t="shared" si="15"/>
        <v>28713.599999999999</v>
      </c>
      <c r="H225" s="72">
        <f t="shared" si="16"/>
        <v>247083.60000000003</v>
      </c>
      <c r="I225" s="72">
        <f t="shared" si="17"/>
        <v>64071</v>
      </c>
      <c r="J225" s="51">
        <f t="shared" si="18"/>
        <v>339868.2</v>
      </c>
      <c r="K225" s="77">
        <f t="shared" si="19"/>
        <v>1533.8812315524385</v>
      </c>
      <c r="AC225" s="94" t="s">
        <v>627</v>
      </c>
    </row>
    <row r="226" spans="1:29" ht="15" customHeight="1" x14ac:dyDescent="0.25">
      <c r="A226" s="74" t="str">
        <f>Unidades!A219</f>
        <v>E-063</v>
      </c>
      <c r="B226" s="75" t="str">
        <f>Unidades!B219</f>
        <v>T5</v>
      </c>
      <c r="C226" s="75" t="str">
        <f>Unidades!C219</f>
        <v>Fase 2</v>
      </c>
      <c r="D226" s="76">
        <f>Unidades!H219</f>
        <v>130.04400000000001</v>
      </c>
      <c r="E226" s="76">
        <f>Unidades!I219</f>
        <v>91.53</v>
      </c>
      <c r="F226" s="50">
        <v>1101.92</v>
      </c>
      <c r="G226" s="72">
        <f t="shared" si="15"/>
        <v>33057.600000000006</v>
      </c>
      <c r="H226" s="72">
        <f t="shared" si="16"/>
        <v>247083.60000000003</v>
      </c>
      <c r="I226" s="72">
        <f t="shared" si="17"/>
        <v>64071</v>
      </c>
      <c r="J226" s="51">
        <f t="shared" si="18"/>
        <v>344212.20000000007</v>
      </c>
      <c r="K226" s="77">
        <f t="shared" si="19"/>
        <v>1553.4864198868102</v>
      </c>
      <c r="AC226" s="94" t="s">
        <v>622</v>
      </c>
    </row>
    <row r="227" spans="1:29" ht="15" customHeight="1" x14ac:dyDescent="0.25">
      <c r="A227" s="74" t="str">
        <f>Unidades!A220</f>
        <v>E-064</v>
      </c>
      <c r="B227" s="75" t="str">
        <f>Unidades!B220</f>
        <v>T5</v>
      </c>
      <c r="C227" s="75" t="str">
        <f>Unidades!C220</f>
        <v>Fase 2</v>
      </c>
      <c r="D227" s="76">
        <f>Unidades!H220</f>
        <v>130.04400000000001</v>
      </c>
      <c r="E227" s="76">
        <f>Unidades!I220</f>
        <v>91.53</v>
      </c>
      <c r="F227" s="50">
        <v>745.35</v>
      </c>
      <c r="G227" s="72">
        <f t="shared" si="15"/>
        <v>22360.5</v>
      </c>
      <c r="H227" s="72">
        <f t="shared" si="16"/>
        <v>247083.60000000003</v>
      </c>
      <c r="I227" s="72">
        <f t="shared" si="17"/>
        <v>64071</v>
      </c>
      <c r="J227" s="51">
        <f t="shared" si="18"/>
        <v>333515.10000000003</v>
      </c>
      <c r="K227" s="77">
        <f t="shared" si="19"/>
        <v>1505.2086436134205</v>
      </c>
      <c r="AC227" s="94" t="s">
        <v>627</v>
      </c>
    </row>
    <row r="228" spans="1:29" ht="15" customHeight="1" x14ac:dyDescent="0.25">
      <c r="A228" s="74" t="str">
        <f>Unidades!A221</f>
        <v>E-065</v>
      </c>
      <c r="B228" s="75" t="str">
        <f>Unidades!B221</f>
        <v>T5</v>
      </c>
      <c r="C228" s="75" t="str">
        <f>Unidades!C221</f>
        <v>Fase 2</v>
      </c>
      <c r="D228" s="76">
        <f>Unidades!H221</f>
        <v>130.04400000000001</v>
      </c>
      <c r="E228" s="76">
        <f>Unidades!I221</f>
        <v>91.53</v>
      </c>
      <c r="F228" s="50">
        <v>713.82</v>
      </c>
      <c r="G228" s="72">
        <f t="shared" si="15"/>
        <v>21414.600000000002</v>
      </c>
      <c r="H228" s="72">
        <f t="shared" si="16"/>
        <v>247083.60000000003</v>
      </c>
      <c r="I228" s="72">
        <f t="shared" si="17"/>
        <v>64071</v>
      </c>
      <c r="J228" s="51">
        <f t="shared" si="18"/>
        <v>332569.2</v>
      </c>
      <c r="K228" s="77">
        <f t="shared" si="19"/>
        <v>1500.9396409326005</v>
      </c>
      <c r="AC228" s="94" t="s">
        <v>622</v>
      </c>
    </row>
    <row r="229" spans="1:29" ht="15" customHeight="1" x14ac:dyDescent="0.25">
      <c r="A229" s="74" t="str">
        <f>Unidades!A222</f>
        <v>E-066</v>
      </c>
      <c r="B229" s="75" t="str">
        <f>Unidades!B222</f>
        <v>T5</v>
      </c>
      <c r="C229" s="75" t="str">
        <f>Unidades!C222</f>
        <v>Fase 2</v>
      </c>
      <c r="D229" s="76">
        <f>Unidades!H222</f>
        <v>130.04400000000001</v>
      </c>
      <c r="E229" s="76">
        <f>Unidades!I222</f>
        <v>91.53</v>
      </c>
      <c r="F229" s="50">
        <v>960.72</v>
      </c>
      <c r="G229" s="72">
        <f t="shared" si="15"/>
        <v>28821.600000000002</v>
      </c>
      <c r="H229" s="72">
        <f t="shared" si="16"/>
        <v>247083.60000000003</v>
      </c>
      <c r="I229" s="72">
        <f t="shared" si="17"/>
        <v>64071</v>
      </c>
      <c r="J229" s="51">
        <f t="shared" si="18"/>
        <v>339976.2</v>
      </c>
      <c r="K229" s="77">
        <f t="shared" si="19"/>
        <v>1534.3686533618566</v>
      </c>
      <c r="AC229" s="94" t="s">
        <v>616</v>
      </c>
    </row>
    <row r="230" spans="1:29" ht="15" customHeight="1" x14ac:dyDescent="0.25">
      <c r="A230" s="74" t="str">
        <f>Unidades!A223</f>
        <v>E-067</v>
      </c>
      <c r="B230" s="75" t="str">
        <f>Unidades!B223</f>
        <v>T5</v>
      </c>
      <c r="C230" s="75" t="str">
        <f>Unidades!C223</f>
        <v>Fase 2</v>
      </c>
      <c r="D230" s="76">
        <f>Unidades!H223</f>
        <v>130.04400000000001</v>
      </c>
      <c r="E230" s="76">
        <f>Unidades!I223</f>
        <v>91.53</v>
      </c>
      <c r="F230" s="50">
        <v>968</v>
      </c>
      <c r="G230" s="72">
        <f t="shared" si="15"/>
        <v>29040</v>
      </c>
      <c r="H230" s="72">
        <f t="shared" si="16"/>
        <v>247083.60000000003</v>
      </c>
      <c r="I230" s="72">
        <f t="shared" si="17"/>
        <v>64071</v>
      </c>
      <c r="J230" s="51">
        <f t="shared" si="18"/>
        <v>340194.60000000003</v>
      </c>
      <c r="K230" s="77">
        <f t="shared" si="19"/>
        <v>1535.3543285764576</v>
      </c>
      <c r="AC230" s="94" t="s">
        <v>622</v>
      </c>
    </row>
    <row r="231" spans="1:29" ht="15" customHeight="1" x14ac:dyDescent="0.25">
      <c r="A231" s="74" t="str">
        <f>Unidades!A224</f>
        <v>E-068</v>
      </c>
      <c r="B231" s="75" t="str">
        <f>Unidades!B224</f>
        <v>T5</v>
      </c>
      <c r="C231" s="75" t="str">
        <f>Unidades!C224</f>
        <v>Fase 2</v>
      </c>
      <c r="D231" s="76">
        <f>Unidades!H224</f>
        <v>130.04400000000001</v>
      </c>
      <c r="E231" s="76">
        <f>Unidades!I224</f>
        <v>91.53</v>
      </c>
      <c r="F231" s="50">
        <v>793.52</v>
      </c>
      <c r="G231" s="72">
        <f t="shared" si="15"/>
        <v>23805.599999999999</v>
      </c>
      <c r="H231" s="72">
        <f t="shared" si="16"/>
        <v>247083.60000000003</v>
      </c>
      <c r="I231" s="72">
        <f t="shared" si="17"/>
        <v>64071</v>
      </c>
      <c r="J231" s="51">
        <f t="shared" si="18"/>
        <v>334960.2</v>
      </c>
      <c r="K231" s="77">
        <f t="shared" si="19"/>
        <v>1511.7306182133282</v>
      </c>
      <c r="AC231" s="94" t="s">
        <v>622</v>
      </c>
    </row>
    <row r="232" spans="1:29" ht="15" customHeight="1" x14ac:dyDescent="0.25">
      <c r="A232" s="74" t="str">
        <f>Unidades!A225</f>
        <v>E-069</v>
      </c>
      <c r="B232" s="75" t="str">
        <f>Unidades!B225</f>
        <v>T5</v>
      </c>
      <c r="C232" s="75" t="str">
        <f>Unidades!C225</f>
        <v>Fase 2</v>
      </c>
      <c r="D232" s="76">
        <f>Unidades!H225</f>
        <v>130.04400000000001</v>
      </c>
      <c r="E232" s="76">
        <f>Unidades!I225</f>
        <v>91.53</v>
      </c>
      <c r="F232" s="50">
        <v>936.99</v>
      </c>
      <c r="G232" s="72">
        <f t="shared" si="15"/>
        <v>28109.7</v>
      </c>
      <c r="H232" s="72">
        <f t="shared" si="16"/>
        <v>247083.60000000003</v>
      </c>
      <c r="I232" s="72">
        <f t="shared" si="17"/>
        <v>64071</v>
      </c>
      <c r="J232" s="51">
        <f t="shared" si="18"/>
        <v>339264.30000000005</v>
      </c>
      <c r="K232" s="77">
        <f t="shared" si="19"/>
        <v>1531.1557312681091</v>
      </c>
      <c r="AC232" s="94" t="s">
        <v>627</v>
      </c>
    </row>
    <row r="233" spans="1:29" ht="15" customHeight="1" x14ac:dyDescent="0.25">
      <c r="A233" s="74" t="str">
        <f>Unidades!A226</f>
        <v>E-070</v>
      </c>
      <c r="B233" s="75" t="str">
        <f>Unidades!B226</f>
        <v>T5</v>
      </c>
      <c r="C233" s="75" t="str">
        <f>Unidades!C226</f>
        <v>Fase 2</v>
      </c>
      <c r="D233" s="76">
        <f>Unidades!H226</f>
        <v>130.04400000000001</v>
      </c>
      <c r="E233" s="76">
        <f>Unidades!I226</f>
        <v>91.53</v>
      </c>
      <c r="F233" s="50">
        <v>865.64</v>
      </c>
      <c r="G233" s="72">
        <f t="shared" si="15"/>
        <v>25969.200000000001</v>
      </c>
      <c r="H233" s="72">
        <f t="shared" si="16"/>
        <v>247083.60000000003</v>
      </c>
      <c r="I233" s="72">
        <f t="shared" si="17"/>
        <v>64071</v>
      </c>
      <c r="J233" s="51">
        <f t="shared" si="18"/>
        <v>337123.80000000005</v>
      </c>
      <c r="K233" s="77">
        <f t="shared" si="19"/>
        <v>1521.4953017953371</v>
      </c>
      <c r="AC233" s="94" t="s">
        <v>622</v>
      </c>
    </row>
    <row r="234" spans="1:29" ht="15" customHeight="1" x14ac:dyDescent="0.25">
      <c r="A234" s="74" t="str">
        <f>Unidades!A227</f>
        <v>E-071</v>
      </c>
      <c r="B234" s="75" t="str">
        <f>Unidades!B227</f>
        <v>T5</v>
      </c>
      <c r="C234" s="75" t="str">
        <f>Unidades!C227</f>
        <v>Fase 2</v>
      </c>
      <c r="D234" s="76">
        <f>Unidades!H227</f>
        <v>130.04400000000001</v>
      </c>
      <c r="E234" s="76">
        <f>Unidades!I227</f>
        <v>91.53</v>
      </c>
      <c r="F234" s="50">
        <v>684.97</v>
      </c>
      <c r="G234" s="72">
        <f t="shared" si="15"/>
        <v>20549.100000000002</v>
      </c>
      <c r="H234" s="72">
        <f t="shared" si="16"/>
        <v>247083.60000000003</v>
      </c>
      <c r="I234" s="72">
        <f t="shared" si="17"/>
        <v>64071</v>
      </c>
      <c r="J234" s="51">
        <f t="shared" si="18"/>
        <v>331703.7</v>
      </c>
      <c r="K234" s="77">
        <f t="shared" si="19"/>
        <v>1497.0334967099027</v>
      </c>
      <c r="AC234" s="94" t="s">
        <v>627</v>
      </c>
    </row>
    <row r="235" spans="1:29" ht="15" customHeight="1" x14ac:dyDescent="0.25">
      <c r="A235" s="74" t="str">
        <f>Unidades!A228</f>
        <v>E-072</v>
      </c>
      <c r="B235" s="75" t="str">
        <f>Unidades!B228</f>
        <v>T5</v>
      </c>
      <c r="C235" s="75" t="str">
        <f>Unidades!C228</f>
        <v>Fase 2</v>
      </c>
      <c r="D235" s="76">
        <f>Unidades!H228</f>
        <v>130.04400000000001</v>
      </c>
      <c r="E235" s="76">
        <f>Unidades!I228</f>
        <v>91.53</v>
      </c>
      <c r="F235" s="50">
        <v>680.29</v>
      </c>
      <c r="G235" s="72">
        <f t="shared" si="15"/>
        <v>20408.699999999997</v>
      </c>
      <c r="H235" s="72">
        <f t="shared" si="16"/>
        <v>247083.60000000003</v>
      </c>
      <c r="I235" s="72">
        <f t="shared" si="17"/>
        <v>64071</v>
      </c>
      <c r="J235" s="51">
        <f t="shared" si="18"/>
        <v>331563.30000000005</v>
      </c>
      <c r="K235" s="77">
        <f t="shared" si="19"/>
        <v>1496.3998483576595</v>
      </c>
      <c r="AC235" s="94" t="s">
        <v>622</v>
      </c>
    </row>
    <row r="236" spans="1:29" ht="15" customHeight="1" x14ac:dyDescent="0.25">
      <c r="A236" s="74" t="str">
        <f>Unidades!A229</f>
        <v>E-073</v>
      </c>
      <c r="B236" s="75" t="str">
        <f>Unidades!B229</f>
        <v>T5</v>
      </c>
      <c r="C236" s="75" t="str">
        <f>Unidades!C229</f>
        <v>Fase 2</v>
      </c>
      <c r="D236" s="76">
        <f>Unidades!H229</f>
        <v>130.04400000000001</v>
      </c>
      <c r="E236" s="76">
        <f>Unidades!I229</f>
        <v>91.53</v>
      </c>
      <c r="F236" s="50">
        <v>611.85</v>
      </c>
      <c r="G236" s="72">
        <f t="shared" si="15"/>
        <v>18355.5</v>
      </c>
      <c r="H236" s="72">
        <f t="shared" si="16"/>
        <v>247083.60000000003</v>
      </c>
      <c r="I236" s="72">
        <f t="shared" si="17"/>
        <v>64071</v>
      </c>
      <c r="J236" s="51">
        <f t="shared" si="18"/>
        <v>329510.10000000003</v>
      </c>
      <c r="K236" s="77">
        <f t="shared" si="19"/>
        <v>1487.1334181808336</v>
      </c>
      <c r="AC236" s="94" t="s">
        <v>627</v>
      </c>
    </row>
    <row r="237" spans="1:29" ht="15" customHeight="1" x14ac:dyDescent="0.25">
      <c r="A237" s="74" t="str">
        <f>Unidades!A230</f>
        <v>E-074</v>
      </c>
      <c r="B237" s="75" t="str">
        <f>Unidades!B230</f>
        <v>T5</v>
      </c>
      <c r="C237" s="75" t="str">
        <f>Unidades!C230</f>
        <v>Fase 2</v>
      </c>
      <c r="D237" s="76">
        <f>Unidades!H230</f>
        <v>130.04400000000001</v>
      </c>
      <c r="E237" s="76">
        <f>Unidades!I230</f>
        <v>91.53</v>
      </c>
      <c r="F237" s="50">
        <v>670.33</v>
      </c>
      <c r="G237" s="72">
        <f t="shared" si="15"/>
        <v>20109.900000000001</v>
      </c>
      <c r="H237" s="72">
        <f t="shared" si="16"/>
        <v>247083.60000000003</v>
      </c>
      <c r="I237" s="72">
        <f t="shared" si="17"/>
        <v>64071</v>
      </c>
      <c r="J237" s="51">
        <f t="shared" si="18"/>
        <v>331264.50000000006</v>
      </c>
      <c r="K237" s="77">
        <f t="shared" si="19"/>
        <v>1495.0513146849362</v>
      </c>
      <c r="AC237" s="94" t="s">
        <v>622</v>
      </c>
    </row>
    <row r="238" spans="1:29" ht="15" customHeight="1" x14ac:dyDescent="0.25">
      <c r="A238" s="74" t="str">
        <f>Unidades!A231</f>
        <v>E-075</v>
      </c>
      <c r="B238" s="75" t="str">
        <f>Unidades!B231</f>
        <v>T5</v>
      </c>
      <c r="C238" s="75" t="str">
        <f>Unidades!C231</f>
        <v>Fase 2</v>
      </c>
      <c r="D238" s="76">
        <f>Unidades!H231</f>
        <v>130.04400000000001</v>
      </c>
      <c r="E238" s="76">
        <f>Unidades!I231</f>
        <v>91.53</v>
      </c>
      <c r="F238" s="50">
        <v>658.73</v>
      </c>
      <c r="G238" s="72">
        <f t="shared" si="15"/>
        <v>19761.900000000001</v>
      </c>
      <c r="H238" s="72">
        <f t="shared" si="16"/>
        <v>247083.60000000003</v>
      </c>
      <c r="I238" s="72">
        <f t="shared" si="17"/>
        <v>64071</v>
      </c>
      <c r="J238" s="51">
        <f t="shared" si="18"/>
        <v>330916.50000000006</v>
      </c>
      <c r="K238" s="77">
        <f t="shared" si="19"/>
        <v>1493.4807332990335</v>
      </c>
      <c r="AC238" s="94" t="s">
        <v>622</v>
      </c>
    </row>
    <row r="239" spans="1:29" ht="15" customHeight="1" x14ac:dyDescent="0.25">
      <c r="A239" s="74" t="str">
        <f>Unidades!A232</f>
        <v>E-076</v>
      </c>
      <c r="B239" s="75" t="str">
        <f>Unidades!B232</f>
        <v>T5</v>
      </c>
      <c r="C239" s="75" t="str">
        <f>Unidades!C232</f>
        <v>Fase 2</v>
      </c>
      <c r="D239" s="76">
        <f>Unidades!H232</f>
        <v>130.04400000000001</v>
      </c>
      <c r="E239" s="76">
        <f>Unidades!I232</f>
        <v>91.53</v>
      </c>
      <c r="F239" s="50">
        <v>700.16</v>
      </c>
      <c r="G239" s="72">
        <f t="shared" si="15"/>
        <v>21004.799999999999</v>
      </c>
      <c r="H239" s="72">
        <f t="shared" si="16"/>
        <v>247083.60000000003</v>
      </c>
      <c r="I239" s="72">
        <f t="shared" si="17"/>
        <v>64071</v>
      </c>
      <c r="J239" s="51">
        <f t="shared" si="18"/>
        <v>332159.40000000002</v>
      </c>
      <c r="K239" s="77">
        <f t="shared" si="19"/>
        <v>1499.0901459557529</v>
      </c>
      <c r="AC239" s="94" t="s">
        <v>627</v>
      </c>
    </row>
    <row r="240" spans="1:29" ht="15" customHeight="1" x14ac:dyDescent="0.25">
      <c r="A240" s="74" t="str">
        <f>Unidades!A233</f>
        <v>E-077</v>
      </c>
      <c r="B240" s="75" t="str">
        <f>Unidades!B233</f>
        <v>T5</v>
      </c>
      <c r="C240" s="75" t="str">
        <f>Unidades!C233</f>
        <v>Fase 2</v>
      </c>
      <c r="D240" s="76">
        <f>Unidades!H233</f>
        <v>130.04400000000001</v>
      </c>
      <c r="E240" s="76">
        <f>Unidades!I233</f>
        <v>91.53</v>
      </c>
      <c r="F240" s="50">
        <v>643.6</v>
      </c>
      <c r="G240" s="72">
        <f t="shared" si="15"/>
        <v>19308</v>
      </c>
      <c r="H240" s="72">
        <f t="shared" si="16"/>
        <v>247083.60000000003</v>
      </c>
      <c r="I240" s="72">
        <f t="shared" si="17"/>
        <v>64071</v>
      </c>
      <c r="J240" s="51">
        <f t="shared" si="18"/>
        <v>330462.60000000003</v>
      </c>
      <c r="K240" s="77">
        <f t="shared" si="19"/>
        <v>1491.4322077500069</v>
      </c>
      <c r="AC240" s="94" t="s">
        <v>622</v>
      </c>
    </row>
    <row r="241" spans="1:29" ht="15" customHeight="1" x14ac:dyDescent="0.25">
      <c r="A241" s="74" t="str">
        <f>Unidades!A234</f>
        <v>E-078</v>
      </c>
      <c r="B241" s="75" t="str">
        <f>Unidades!B234</f>
        <v>T5</v>
      </c>
      <c r="C241" s="75" t="str">
        <f>Unidades!C234</f>
        <v>Fase 2</v>
      </c>
      <c r="D241" s="76">
        <f>Unidades!H234</f>
        <v>130.04400000000001</v>
      </c>
      <c r="E241" s="76">
        <f>Unidades!I234</f>
        <v>91.53</v>
      </c>
      <c r="F241" s="50">
        <v>644.4</v>
      </c>
      <c r="G241" s="72">
        <f t="shared" si="15"/>
        <v>19332</v>
      </c>
      <c r="H241" s="72">
        <f t="shared" si="16"/>
        <v>247083.60000000003</v>
      </c>
      <c r="I241" s="72">
        <f t="shared" si="17"/>
        <v>64071</v>
      </c>
      <c r="J241" s="51">
        <f t="shared" si="18"/>
        <v>330486.60000000003</v>
      </c>
      <c r="K241" s="77">
        <f t="shared" si="19"/>
        <v>1491.5405237076552</v>
      </c>
      <c r="AC241" s="94" t="s">
        <v>622</v>
      </c>
    </row>
    <row r="242" spans="1:29" ht="15" customHeight="1" x14ac:dyDescent="0.25">
      <c r="A242" s="74" t="str">
        <f>Unidades!A235</f>
        <v>E-079</v>
      </c>
      <c r="B242" s="75" t="str">
        <f>Unidades!B235</f>
        <v>T5</v>
      </c>
      <c r="C242" s="75" t="str">
        <f>Unidades!C235</f>
        <v>Fase 2</v>
      </c>
      <c r="D242" s="76">
        <f>Unidades!H235</f>
        <v>130.04400000000001</v>
      </c>
      <c r="E242" s="76">
        <f>Unidades!I235</f>
        <v>91.53</v>
      </c>
      <c r="F242" s="50">
        <v>656.97</v>
      </c>
      <c r="G242" s="72">
        <f t="shared" si="15"/>
        <v>19709.100000000002</v>
      </c>
      <c r="H242" s="72">
        <f t="shared" si="16"/>
        <v>247083.60000000003</v>
      </c>
      <c r="I242" s="72">
        <f t="shared" si="17"/>
        <v>64071</v>
      </c>
      <c r="J242" s="51">
        <f t="shared" si="18"/>
        <v>330863.7</v>
      </c>
      <c r="K242" s="77">
        <f t="shared" si="19"/>
        <v>1493.2424381922067</v>
      </c>
      <c r="AC242" s="94" t="s">
        <v>622</v>
      </c>
    </row>
    <row r="243" spans="1:29" ht="15" customHeight="1" x14ac:dyDescent="0.25">
      <c r="A243" s="78" t="s">
        <v>91</v>
      </c>
      <c r="B243" s="89">
        <f>COUNTA(A10:A242)</f>
        <v>233</v>
      </c>
      <c r="C243" s="78"/>
      <c r="D243" s="80">
        <f t="shared" ref="D243:J243" si="20">SUM(D10:D242)</f>
        <v>34741.372000000214</v>
      </c>
      <c r="E243" s="80">
        <f t="shared" si="20"/>
        <v>19694.893999999953</v>
      </c>
      <c r="F243" s="80">
        <f t="shared" si="20"/>
        <v>183472.78999999998</v>
      </c>
      <c r="G243" s="81">
        <f t="shared" si="20"/>
        <v>5504183.6999999983</v>
      </c>
      <c r="H243" s="81">
        <f t="shared" si="20"/>
        <v>66008606.800000243</v>
      </c>
      <c r="I243" s="81">
        <f t="shared" si="20"/>
        <v>13786425.799999999</v>
      </c>
      <c r="J243" s="82">
        <f t="shared" si="20"/>
        <v>85299216.300000012</v>
      </c>
      <c r="K243" s="81">
        <f t="shared" si="19"/>
        <v>1566.955681714094</v>
      </c>
    </row>
  </sheetData>
  <mergeCells count="2">
    <mergeCell ref="A2:K2"/>
    <mergeCell ref="A4:C4"/>
  </mergeCells>
  <dataValidations count="1">
    <dataValidation type="list" allowBlank="1" sqref="AC10:AC242" xr:uid="{B406C482-B34B-4529-9401-3B6B206DEE5A}">
      <formula1>$A$5:$A$7</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182C"/>
  </sheetPr>
  <dimension ref="B2:H1000"/>
  <sheetViews>
    <sheetView showGridLines="0" zoomScaleNormal="100" workbookViewId="0"/>
  </sheetViews>
  <sheetFormatPr baseColWidth="10" defaultColWidth="14.42578125" defaultRowHeight="15" x14ac:dyDescent="0.25"/>
  <cols>
    <col min="1" max="1" width="3" customWidth="1"/>
    <col min="2" max="2" width="26" customWidth="1"/>
    <col min="3" max="3" width="24" customWidth="1"/>
    <col min="4" max="5" width="22" customWidth="1"/>
    <col min="6" max="8" width="18" customWidth="1"/>
    <col min="9" max="26" width="8.7109375" customWidth="1"/>
  </cols>
  <sheetData>
    <row r="2" spans="2:8" ht="25.5" customHeight="1" x14ac:dyDescent="0.25">
      <c r="B2" s="14" t="s">
        <v>0</v>
      </c>
      <c r="C2" s="14"/>
      <c r="D2" s="14"/>
      <c r="E2" s="14"/>
      <c r="F2" s="14"/>
      <c r="G2" s="14"/>
      <c r="H2" s="14"/>
    </row>
    <row r="3" spans="2:8" ht="15" customHeight="1" x14ac:dyDescent="0.25">
      <c r="B3" s="13" t="s">
        <v>1</v>
      </c>
      <c r="C3" s="13"/>
      <c r="D3" s="13"/>
      <c r="E3" s="13"/>
      <c r="F3" s="13"/>
      <c r="G3" s="13"/>
      <c r="H3" s="13"/>
    </row>
    <row r="4" spans="2:8" ht="15" customHeight="1" x14ac:dyDescent="0.25">
      <c r="B4" s="12" t="s">
        <v>2</v>
      </c>
      <c r="C4" s="12"/>
      <c r="D4" s="12"/>
      <c r="E4" s="12"/>
      <c r="F4" s="12"/>
      <c r="G4" s="12"/>
      <c r="H4" s="12"/>
    </row>
    <row r="6" spans="2:8" ht="15" customHeight="1" x14ac:dyDescent="0.25">
      <c r="B6" s="11" t="s">
        <v>3</v>
      </c>
      <c r="C6" s="11"/>
      <c r="D6" s="11"/>
      <c r="E6" s="11"/>
      <c r="F6" s="11"/>
      <c r="G6" s="11"/>
      <c r="H6" s="11"/>
    </row>
    <row r="7" spans="2:8" ht="39.75" customHeight="1" x14ac:dyDescent="0.25">
      <c r="B7" s="10" t="s">
        <v>4</v>
      </c>
      <c r="C7" s="10"/>
      <c r="D7" s="10"/>
      <c r="E7" s="10"/>
      <c r="F7" s="10"/>
      <c r="G7" s="10"/>
      <c r="H7" s="10"/>
    </row>
    <row r="9" spans="2:8" ht="15" customHeight="1" x14ac:dyDescent="0.25">
      <c r="B9" s="11" t="s">
        <v>5</v>
      </c>
      <c r="C9" s="11"/>
      <c r="D9" s="11"/>
      <c r="E9" s="11"/>
      <c r="F9" s="11"/>
      <c r="G9" s="11"/>
      <c r="H9" s="11"/>
    </row>
    <row r="10" spans="2:8" ht="25.5" customHeight="1" x14ac:dyDescent="0.25">
      <c r="B10" s="10" t="s">
        <v>6</v>
      </c>
      <c r="C10" s="10"/>
      <c r="D10" s="10"/>
      <c r="E10" s="10"/>
      <c r="F10" s="10"/>
      <c r="G10" s="10"/>
      <c r="H10" s="10"/>
    </row>
    <row r="11" spans="2:8" ht="25.5" customHeight="1" x14ac:dyDescent="0.25">
      <c r="B11" s="10" t="s">
        <v>7</v>
      </c>
      <c r="C11" s="10"/>
      <c r="D11" s="10"/>
      <c r="E11" s="10"/>
      <c r="F11" s="10"/>
      <c r="G11" s="10"/>
      <c r="H11" s="10"/>
    </row>
    <row r="12" spans="2:8" ht="25.5" customHeight="1" x14ac:dyDescent="0.25">
      <c r="B12" s="10" t="s">
        <v>8</v>
      </c>
      <c r="C12" s="10"/>
      <c r="D12" s="10"/>
      <c r="E12" s="10"/>
      <c r="F12" s="10"/>
      <c r="G12" s="10"/>
      <c r="H12" s="10"/>
    </row>
    <row r="13" spans="2:8" ht="25.5" customHeight="1" x14ac:dyDescent="0.25">
      <c r="B13" s="10" t="s">
        <v>9</v>
      </c>
      <c r="C13" s="10"/>
      <c r="D13" s="10"/>
      <c r="E13" s="10"/>
      <c r="F13" s="10"/>
      <c r="G13" s="10"/>
      <c r="H13" s="10"/>
    </row>
    <row r="15" spans="2:8" ht="15" customHeight="1" x14ac:dyDescent="0.25">
      <c r="B15" s="11" t="s">
        <v>10</v>
      </c>
      <c r="C15" s="11"/>
      <c r="D15" s="11"/>
      <c r="E15" s="11"/>
      <c r="F15" s="11"/>
      <c r="G15" s="11"/>
      <c r="H15" s="11"/>
    </row>
    <row r="16" spans="2:8" ht="15" customHeight="1" x14ac:dyDescent="0.25">
      <c r="B16" s="15" t="s">
        <v>11</v>
      </c>
      <c r="C16" s="15" t="s">
        <v>12</v>
      </c>
      <c r="D16" s="9" t="s">
        <v>13</v>
      </c>
      <c r="E16" s="9"/>
      <c r="F16" s="9"/>
      <c r="G16" s="9"/>
      <c r="H16" s="9"/>
    </row>
    <row r="17" spans="2:8" ht="27.75" customHeight="1" x14ac:dyDescent="0.25">
      <c r="B17" s="16" t="s">
        <v>14</v>
      </c>
      <c r="C17" s="17" t="s">
        <v>15</v>
      </c>
      <c r="D17" s="8" t="s">
        <v>16</v>
      </c>
      <c r="E17" s="8"/>
      <c r="F17" s="8"/>
      <c r="G17" s="8"/>
      <c r="H17" s="8"/>
    </row>
    <row r="18" spans="2:8" ht="27.75" customHeight="1" x14ac:dyDescent="0.25">
      <c r="B18" s="16" t="s">
        <v>17</v>
      </c>
      <c r="C18" s="17" t="s">
        <v>18</v>
      </c>
      <c r="D18" s="8" t="s">
        <v>19</v>
      </c>
      <c r="E18" s="8"/>
      <c r="F18" s="8"/>
      <c r="G18" s="8"/>
      <c r="H18" s="8"/>
    </row>
    <row r="19" spans="2:8" ht="27.75" customHeight="1" x14ac:dyDescent="0.25">
      <c r="B19" s="16" t="s">
        <v>20</v>
      </c>
      <c r="C19" s="17" t="s">
        <v>21</v>
      </c>
      <c r="D19" s="8" t="s">
        <v>22</v>
      </c>
      <c r="E19" s="8"/>
      <c r="F19" s="8"/>
      <c r="G19" s="8"/>
      <c r="H19" s="8"/>
    </row>
    <row r="20" spans="2:8" ht="27.75" customHeight="1" x14ac:dyDescent="0.25">
      <c r="B20" s="16" t="s">
        <v>23</v>
      </c>
      <c r="C20" s="17" t="s">
        <v>24</v>
      </c>
      <c r="D20" s="8" t="s">
        <v>25</v>
      </c>
      <c r="E20" s="8"/>
      <c r="F20" s="8"/>
      <c r="G20" s="8"/>
      <c r="H20" s="8"/>
    </row>
    <row r="21" spans="2:8" ht="15.75" customHeight="1" x14ac:dyDescent="0.25"/>
    <row r="22" spans="2:8" ht="15.75" customHeight="1" x14ac:dyDescent="0.25">
      <c r="B22" s="11" t="s">
        <v>26</v>
      </c>
      <c r="C22" s="11"/>
      <c r="D22" s="11"/>
      <c r="E22" s="11"/>
      <c r="F22" s="11"/>
      <c r="G22" s="11"/>
      <c r="H22" s="11"/>
    </row>
    <row r="23" spans="2:8" ht="15.75" customHeight="1" x14ac:dyDescent="0.25">
      <c r="B23" s="18"/>
      <c r="C23" s="7" t="s">
        <v>27</v>
      </c>
      <c r="D23" s="7"/>
      <c r="E23" s="7"/>
      <c r="F23" s="7"/>
      <c r="G23" s="7"/>
      <c r="H23" s="7"/>
    </row>
    <row r="24" spans="2:8" ht="15.75" customHeight="1" x14ac:dyDescent="0.25">
      <c r="B24" s="19"/>
      <c r="C24" s="7" t="s">
        <v>28</v>
      </c>
      <c r="D24" s="7"/>
      <c r="E24" s="7"/>
      <c r="F24" s="7"/>
      <c r="G24" s="7"/>
      <c r="H24" s="7"/>
    </row>
    <row r="25" spans="2:8" ht="15.75" customHeight="1" x14ac:dyDescent="0.25">
      <c r="B25" s="20"/>
      <c r="C25" s="7" t="s">
        <v>29</v>
      </c>
      <c r="D25" s="7"/>
      <c r="E25" s="7"/>
      <c r="F25" s="7"/>
      <c r="G25" s="7"/>
      <c r="H25" s="7"/>
    </row>
    <row r="26" spans="2:8" ht="15.75" customHeight="1" x14ac:dyDescent="0.25">
      <c r="B26" s="21"/>
      <c r="C26" s="6" t="s">
        <v>30</v>
      </c>
      <c r="D26" s="6"/>
      <c r="E26" s="6"/>
      <c r="F26" s="6"/>
      <c r="G26" s="6"/>
      <c r="H26" s="6"/>
    </row>
    <row r="27" spans="2:8" ht="15.75" customHeight="1" x14ac:dyDescent="0.25"/>
    <row r="28" spans="2:8" ht="15.75" customHeight="1" x14ac:dyDescent="0.25">
      <c r="B28" s="11" t="s">
        <v>31</v>
      </c>
      <c r="C28" s="11"/>
      <c r="D28" s="11"/>
      <c r="E28" s="11"/>
      <c r="F28" s="11"/>
      <c r="G28" s="11"/>
      <c r="H28" s="11"/>
    </row>
    <row r="29" spans="2:8" ht="25.5" customHeight="1" x14ac:dyDescent="0.25">
      <c r="B29" s="10" t="s">
        <v>32</v>
      </c>
      <c r="C29" s="10"/>
      <c r="D29" s="10"/>
      <c r="E29" s="10"/>
      <c r="F29" s="10"/>
      <c r="G29" s="10"/>
      <c r="H29" s="10"/>
    </row>
    <row r="30" spans="2:8" ht="25.5" customHeight="1" x14ac:dyDescent="0.25">
      <c r="B30" s="10" t="s">
        <v>33</v>
      </c>
      <c r="C30" s="10"/>
      <c r="D30" s="10"/>
      <c r="E30" s="10"/>
      <c r="F30" s="10"/>
      <c r="G30" s="10"/>
      <c r="H30" s="10"/>
    </row>
    <row r="31" spans="2:8" ht="25.5" customHeight="1" x14ac:dyDescent="0.25">
      <c r="B31" s="10" t="s">
        <v>34</v>
      </c>
      <c r="C31" s="10"/>
      <c r="D31" s="10"/>
      <c r="E31" s="10"/>
      <c r="F31" s="10"/>
      <c r="G31" s="10"/>
      <c r="H31" s="10"/>
    </row>
    <row r="32" spans="2:8" ht="25.5" customHeight="1" x14ac:dyDescent="0.25">
      <c r="B32" s="10" t="s">
        <v>35</v>
      </c>
      <c r="C32" s="10"/>
      <c r="D32" s="10"/>
      <c r="E32" s="10"/>
      <c r="F32" s="10"/>
      <c r="G32" s="10"/>
      <c r="H32" s="10"/>
    </row>
    <row r="33" spans="2:8" ht="25.5" customHeight="1" x14ac:dyDescent="0.25">
      <c r="B33" s="10" t="s">
        <v>36</v>
      </c>
      <c r="C33" s="10"/>
      <c r="D33" s="10"/>
      <c r="E33" s="10"/>
      <c r="F33" s="10"/>
      <c r="G33" s="10"/>
      <c r="H33" s="10"/>
    </row>
    <row r="34" spans="2:8" ht="15.75" customHeight="1" x14ac:dyDescent="0.25"/>
    <row r="35" spans="2:8" ht="15.75" customHeight="1" x14ac:dyDescent="0.25">
      <c r="B35" s="5" t="s">
        <v>37</v>
      </c>
      <c r="C35" s="5"/>
      <c r="D35" s="5"/>
      <c r="E35" s="5"/>
      <c r="F35" s="5"/>
      <c r="G35" s="5"/>
      <c r="H35" s="5"/>
    </row>
    <row r="36" spans="2:8" ht="15.75" customHeight="1" x14ac:dyDescent="0.25"/>
    <row r="37" spans="2:8" ht="15.75" customHeight="1" x14ac:dyDescent="0.25"/>
    <row r="38" spans="2:8" ht="15.75" customHeight="1" x14ac:dyDescent="0.25"/>
    <row r="39" spans="2:8" ht="15.75" customHeight="1" x14ac:dyDescent="0.25"/>
    <row r="40" spans="2:8" ht="15.75" customHeight="1" x14ac:dyDescent="0.25"/>
    <row r="41" spans="2:8" ht="15.75" customHeight="1" x14ac:dyDescent="0.25"/>
    <row r="42" spans="2:8" ht="15.75" customHeight="1" x14ac:dyDescent="0.25"/>
    <row r="43" spans="2:8" ht="15.75" customHeight="1" x14ac:dyDescent="0.25"/>
    <row r="44" spans="2:8" ht="15.75" customHeight="1" x14ac:dyDescent="0.25"/>
    <row r="45" spans="2:8" ht="15.75" customHeight="1" x14ac:dyDescent="0.25"/>
    <row r="46" spans="2:8" ht="15.75" customHeight="1" x14ac:dyDescent="0.25"/>
    <row r="47" spans="2:8" ht="15.75" customHeight="1" x14ac:dyDescent="0.25"/>
    <row r="48" spans="2: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8">
    <mergeCell ref="B32:H32"/>
    <mergeCell ref="B33:H33"/>
    <mergeCell ref="B35:H35"/>
    <mergeCell ref="C26:H26"/>
    <mergeCell ref="B28:H28"/>
    <mergeCell ref="B29:H29"/>
    <mergeCell ref="B30:H30"/>
    <mergeCell ref="B31:H31"/>
    <mergeCell ref="D20:H20"/>
    <mergeCell ref="B22:H22"/>
    <mergeCell ref="C23:H23"/>
    <mergeCell ref="C24:H24"/>
    <mergeCell ref="C25:H25"/>
    <mergeCell ref="B15:H15"/>
    <mergeCell ref="D16:H16"/>
    <mergeCell ref="D17:H17"/>
    <mergeCell ref="D18:H18"/>
    <mergeCell ref="D19:H19"/>
    <mergeCell ref="B9:H9"/>
    <mergeCell ref="B10:H10"/>
    <mergeCell ref="B11:H11"/>
    <mergeCell ref="B12:H12"/>
    <mergeCell ref="B13:H13"/>
    <mergeCell ref="B2:H2"/>
    <mergeCell ref="B3:H3"/>
    <mergeCell ref="B4:H4"/>
    <mergeCell ref="B6:H6"/>
    <mergeCell ref="B7:H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182C"/>
  </sheetPr>
  <dimension ref="A1:W1000"/>
  <sheetViews>
    <sheetView showGridLines="0" zoomScaleNormal="100" workbookViewId="0">
      <pane ySplit="3" topLeftCell="A4" activePane="bottomLeft" state="frozen"/>
      <selection pane="bottomLeft" activeCell="B5" sqref="B5"/>
    </sheetView>
  </sheetViews>
  <sheetFormatPr baseColWidth="10" defaultColWidth="14.42578125" defaultRowHeight="15" x14ac:dyDescent="0.25"/>
  <cols>
    <col min="1" max="1" width="10" customWidth="1"/>
    <col min="2" max="2" width="26" customWidth="1"/>
    <col min="3" max="3" width="32.85546875" customWidth="1"/>
    <col min="4" max="4" width="9" customWidth="1"/>
    <col min="5" max="6" width="7" customWidth="1"/>
    <col min="7" max="7" width="34.28515625" customWidth="1"/>
    <col min="8" max="8" width="15.28515625" customWidth="1"/>
    <col min="9" max="9" width="12" customWidth="1"/>
    <col min="10" max="11" width="11" customWidth="1"/>
    <col min="12" max="12" width="23.5703125" customWidth="1"/>
    <col min="14" max="14" width="9.5703125" customWidth="1"/>
    <col min="15" max="16" width="12" customWidth="1"/>
    <col min="17" max="17" width="13" customWidth="1"/>
    <col min="18" max="18" width="12" customWidth="1"/>
    <col min="19" max="19" width="11" customWidth="1"/>
    <col min="20" max="20" width="10.42578125" customWidth="1"/>
    <col min="21" max="21" width="14.28515625" customWidth="1"/>
    <col min="22" max="22" width="30" customWidth="1"/>
    <col min="23" max="23" width="30.28515625" customWidth="1"/>
    <col min="24" max="28" width="8.7109375" customWidth="1"/>
  </cols>
  <sheetData>
    <row r="1" spans="1:23" ht="15.75" customHeight="1" x14ac:dyDescent="0.25">
      <c r="A1" s="4" t="s">
        <v>38</v>
      </c>
      <c r="B1" s="4"/>
      <c r="C1" s="4"/>
      <c r="D1" s="4"/>
      <c r="E1" s="4"/>
      <c r="F1" s="4"/>
      <c r="G1" s="4"/>
      <c r="H1" s="4"/>
      <c r="I1" s="4"/>
      <c r="J1" s="4"/>
      <c r="K1" s="4"/>
      <c r="L1" s="4"/>
      <c r="M1" s="4"/>
      <c r="N1" s="4"/>
      <c r="O1" s="4"/>
      <c r="P1" s="4"/>
      <c r="Q1" s="4"/>
      <c r="R1" s="4"/>
      <c r="S1" s="4"/>
      <c r="T1" s="4"/>
      <c r="U1" s="4"/>
      <c r="V1" s="4"/>
      <c r="W1" s="22"/>
    </row>
    <row r="2" spans="1:23" ht="15" customHeight="1" x14ac:dyDescent="0.25">
      <c r="A2" s="3" t="s">
        <v>39</v>
      </c>
      <c r="B2" s="3"/>
      <c r="C2" s="3"/>
      <c r="D2" s="3" t="s">
        <v>40</v>
      </c>
      <c r="E2" s="3"/>
      <c r="F2" s="3"/>
      <c r="G2" s="3"/>
      <c r="H2" s="3"/>
      <c r="I2" s="2" t="s">
        <v>41</v>
      </c>
      <c r="J2" s="2"/>
      <c r="K2" s="2"/>
      <c r="L2" s="2"/>
      <c r="M2" s="2"/>
      <c r="N2" s="2"/>
      <c r="O2" s="2"/>
      <c r="P2" s="1" t="s">
        <v>42</v>
      </c>
      <c r="Q2" s="1"/>
      <c r="R2" s="1"/>
      <c r="S2" s="121" t="s">
        <v>43</v>
      </c>
      <c r="T2" s="121"/>
      <c r="U2" s="121"/>
      <c r="V2" s="22"/>
      <c r="W2" s="22"/>
    </row>
    <row r="3" spans="1:23" ht="33.75" customHeight="1" x14ac:dyDescent="0.25">
      <c r="A3" s="23" t="s">
        <v>44</v>
      </c>
      <c r="B3" s="23" t="s">
        <v>45</v>
      </c>
      <c r="C3" s="23" t="s">
        <v>46</v>
      </c>
      <c r="D3" s="23" t="s">
        <v>47</v>
      </c>
      <c r="E3" s="23" t="s">
        <v>48</v>
      </c>
      <c r="F3" s="23" t="s">
        <v>49</v>
      </c>
      <c r="G3" s="23" t="s">
        <v>50</v>
      </c>
      <c r="H3" s="23" t="s">
        <v>51</v>
      </c>
      <c r="I3" s="23" t="s">
        <v>52</v>
      </c>
      <c r="J3" s="23" t="s">
        <v>53</v>
      </c>
      <c r="K3" s="23" t="s">
        <v>54</v>
      </c>
      <c r="L3" s="23" t="s">
        <v>55</v>
      </c>
      <c r="M3" s="23" t="s">
        <v>56</v>
      </c>
      <c r="N3" s="23" t="s">
        <v>57</v>
      </c>
      <c r="O3" s="23" t="s">
        <v>58</v>
      </c>
      <c r="P3" s="23" t="s">
        <v>59</v>
      </c>
      <c r="Q3" s="23" t="s">
        <v>60</v>
      </c>
      <c r="R3" s="23" t="s">
        <v>61</v>
      </c>
      <c r="S3" s="23" t="s">
        <v>62</v>
      </c>
      <c r="T3" s="23" t="s">
        <v>63</v>
      </c>
      <c r="U3" s="23" t="s">
        <v>64</v>
      </c>
      <c r="V3" s="23" t="s">
        <v>65</v>
      </c>
      <c r="W3" s="23" t="s">
        <v>66</v>
      </c>
    </row>
    <row r="4" spans="1:23" ht="93.75" customHeight="1" x14ac:dyDescent="0.25">
      <c r="A4" s="24" t="s">
        <v>67</v>
      </c>
      <c r="B4" s="25" t="s">
        <v>68</v>
      </c>
      <c r="C4" s="17" t="s">
        <v>69</v>
      </c>
      <c r="D4" s="18">
        <v>2</v>
      </c>
      <c r="E4" s="18">
        <v>4</v>
      </c>
      <c r="F4" s="18">
        <v>4.5</v>
      </c>
      <c r="G4" s="18" t="s">
        <v>70</v>
      </c>
      <c r="H4" s="18">
        <v>32</v>
      </c>
      <c r="I4" s="26">
        <v>321.62099999999998</v>
      </c>
      <c r="J4" s="26">
        <v>94.981999999999999</v>
      </c>
      <c r="K4" s="26">
        <v>29</v>
      </c>
      <c r="L4" s="26" t="s">
        <v>71</v>
      </c>
      <c r="M4" s="26">
        <v>21.28</v>
      </c>
      <c r="N4" s="26">
        <v>7</v>
      </c>
      <c r="O4" s="26">
        <v>421.22300000000001</v>
      </c>
      <c r="P4" s="27">
        <f>SUM(I4:K4)</f>
        <v>445.60299999999995</v>
      </c>
      <c r="Q4" s="28">
        <f>IFERROR(I4/O4,"")</f>
        <v>0.76354092725231049</v>
      </c>
      <c r="R4" s="27">
        <f>IF(OR($H4="",I4=""),"",$H4*I4)</f>
        <v>10291.871999999999</v>
      </c>
      <c r="S4" s="29"/>
      <c r="T4" s="29" t="str">
        <f>IF(OR($S4="",$S4=0,P4=0),"",$S4*P4)</f>
        <v/>
      </c>
      <c r="U4" s="29" t="str">
        <f>IF(OR($H4="",$T4=""),"",$H4*$T4)</f>
        <v/>
      </c>
      <c r="V4" s="30" t="s">
        <v>72</v>
      </c>
      <c r="W4" s="31" t="s">
        <v>73</v>
      </c>
    </row>
    <row r="5" spans="1:23" ht="88.5" customHeight="1" x14ac:dyDescent="0.25">
      <c r="A5" s="24" t="s">
        <v>74</v>
      </c>
      <c r="B5" s="25" t="s">
        <v>75</v>
      </c>
      <c r="C5" s="17" t="s">
        <v>76</v>
      </c>
      <c r="D5" s="18">
        <v>2</v>
      </c>
      <c r="E5" s="18">
        <v>3</v>
      </c>
      <c r="F5" s="18">
        <v>3.5</v>
      </c>
      <c r="G5" s="18" t="s">
        <v>70</v>
      </c>
      <c r="H5" s="18">
        <v>14</v>
      </c>
      <c r="I5" s="26">
        <v>179.17400000000001</v>
      </c>
      <c r="J5" s="26">
        <v>89</v>
      </c>
      <c r="K5" s="26">
        <v>33</v>
      </c>
      <c r="L5" s="26" t="s">
        <v>71</v>
      </c>
      <c r="M5" s="26">
        <v>12</v>
      </c>
      <c r="N5" s="26">
        <v>4</v>
      </c>
      <c r="O5" s="26">
        <v>261.495</v>
      </c>
      <c r="P5" s="27">
        <f>SUM(I5:K5)</f>
        <v>301.17399999999998</v>
      </c>
      <c r="Q5" s="28">
        <f>IFERROR(I5/O5,"")</f>
        <v>0.68519092143253213</v>
      </c>
      <c r="R5" s="27">
        <f>IF(OR($H5="",I5=""),"",$H5*I5)</f>
        <v>2508.4360000000001</v>
      </c>
      <c r="S5" s="29"/>
      <c r="T5" s="29" t="str">
        <f>IF(OR($S5="",$S5=0,P5=0),"",$S5*P5)</f>
        <v/>
      </c>
      <c r="U5" s="29" t="str">
        <f>IF(OR($H5="",$T5=""),"",$H5*$T5)</f>
        <v/>
      </c>
      <c r="V5" s="30" t="s">
        <v>77</v>
      </c>
      <c r="W5" s="31" t="s">
        <v>73</v>
      </c>
    </row>
    <row r="6" spans="1:23" ht="103.5" customHeight="1" x14ac:dyDescent="0.25">
      <c r="A6" s="24" t="s">
        <v>78</v>
      </c>
      <c r="B6" s="25" t="s">
        <v>79</v>
      </c>
      <c r="C6" s="17" t="s">
        <v>80</v>
      </c>
      <c r="D6" s="18">
        <v>1</v>
      </c>
      <c r="E6" s="18">
        <v>2</v>
      </c>
      <c r="F6" s="18">
        <v>2.5</v>
      </c>
      <c r="G6" s="18" t="s">
        <v>70</v>
      </c>
      <c r="H6" s="18">
        <v>24</v>
      </c>
      <c r="I6" s="26">
        <v>154.38800000000001</v>
      </c>
      <c r="J6" s="26">
        <v>48</v>
      </c>
      <c r="K6" s="26">
        <v>31</v>
      </c>
      <c r="L6" s="26" t="s">
        <v>71</v>
      </c>
      <c r="M6" s="26">
        <v>12</v>
      </c>
      <c r="N6" s="26">
        <v>4</v>
      </c>
      <c r="O6" s="26">
        <v>185</v>
      </c>
      <c r="P6" s="27">
        <f>SUM(I6:K6)</f>
        <v>233.38800000000001</v>
      </c>
      <c r="Q6" s="28">
        <f>IFERROR(I6/O6,"")</f>
        <v>0.83452972972972972</v>
      </c>
      <c r="R6" s="27">
        <f>IF(OR($H6="",I6=""),"",$H6*I6)</f>
        <v>3705.3119999999999</v>
      </c>
      <c r="S6" s="29"/>
      <c r="T6" s="29" t="str">
        <f>IF(OR($S6="",$S6=0,P6=0),"",$S6*P6)</f>
        <v/>
      </c>
      <c r="U6" s="29" t="str">
        <f>IF(OR($H6="",$T6=""),"",$H6*$T6)</f>
        <v/>
      </c>
      <c r="V6" s="30" t="s">
        <v>81</v>
      </c>
      <c r="W6" s="31" t="s">
        <v>73</v>
      </c>
    </row>
    <row r="7" spans="1:23" ht="90" customHeight="1" x14ac:dyDescent="0.25">
      <c r="A7" s="24" t="s">
        <v>82</v>
      </c>
      <c r="B7" s="25" t="s">
        <v>83</v>
      </c>
      <c r="C7" s="17" t="s">
        <v>84</v>
      </c>
      <c r="D7" s="18">
        <v>1</v>
      </c>
      <c r="E7" s="18">
        <v>2</v>
      </c>
      <c r="F7" s="18">
        <v>2</v>
      </c>
      <c r="G7" s="18" t="s">
        <v>70</v>
      </c>
      <c r="H7" s="18">
        <v>84</v>
      </c>
      <c r="I7" s="26">
        <v>94.789000000000001</v>
      </c>
      <c r="J7" s="26">
        <v>83.65</v>
      </c>
      <c r="K7" s="26">
        <v>17.125</v>
      </c>
      <c r="L7" s="26" t="s">
        <v>71</v>
      </c>
      <c r="M7" s="26">
        <v>17.8</v>
      </c>
      <c r="N7" s="26">
        <v>2.0110000000000001</v>
      </c>
      <c r="O7" s="26">
        <v>108.863</v>
      </c>
      <c r="P7" s="27">
        <f>SUM(I7:K7)</f>
        <v>195.56400000000002</v>
      </c>
      <c r="Q7" s="28">
        <f>IFERROR(I7/O7,"")</f>
        <v>0.87071824219431759</v>
      </c>
      <c r="R7" s="27">
        <f>IF(OR($H7="",I7=""),"",$H7*I7)</f>
        <v>7962.2759999999998</v>
      </c>
      <c r="S7" s="29"/>
      <c r="T7" s="29" t="str">
        <f>IF(OR($S7="",$S7=0,P7=0),"",$S7*P7)</f>
        <v/>
      </c>
      <c r="U7" s="29" t="str">
        <f>IF(OR($H7="",$T7=""),"",$H7*$T7)</f>
        <v/>
      </c>
      <c r="V7" s="30" t="s">
        <v>85</v>
      </c>
      <c r="W7" s="32" t="s">
        <v>86</v>
      </c>
    </row>
    <row r="8" spans="1:23" ht="109.5" customHeight="1" x14ac:dyDescent="0.25">
      <c r="A8" s="24" t="s">
        <v>87</v>
      </c>
      <c r="B8" s="25" t="s">
        <v>88</v>
      </c>
      <c r="C8" s="17" t="s">
        <v>89</v>
      </c>
      <c r="D8" s="18">
        <v>2</v>
      </c>
      <c r="E8" s="18">
        <v>3</v>
      </c>
      <c r="F8" s="18">
        <v>3</v>
      </c>
      <c r="G8" s="18" t="s">
        <v>70</v>
      </c>
      <c r="H8" s="18">
        <v>79</v>
      </c>
      <c r="I8" s="26">
        <v>130.04400000000001</v>
      </c>
      <c r="J8" s="26">
        <v>91.53</v>
      </c>
      <c r="K8" s="26">
        <v>17.05</v>
      </c>
      <c r="L8" s="26" t="s">
        <v>71</v>
      </c>
      <c r="M8" s="26">
        <v>27.562999999999999</v>
      </c>
      <c r="N8" s="26">
        <v>2.0110000000000001</v>
      </c>
      <c r="O8" s="26">
        <v>163.53700000000001</v>
      </c>
      <c r="P8" s="27">
        <f>SUM(I8:K8)</f>
        <v>238.62400000000002</v>
      </c>
      <c r="Q8" s="28">
        <f>IFERROR(I8/O8,"")</f>
        <v>0.79519619413343778</v>
      </c>
      <c r="R8" s="27">
        <f>IF(OR($H8="",I8=""),"",$H8*I8)</f>
        <v>10273.476000000001</v>
      </c>
      <c r="S8" s="29"/>
      <c r="T8" s="29" t="str">
        <f>IF(OR($S8="",$S8=0,P8=0),"",$S8*P8)</f>
        <v/>
      </c>
      <c r="U8" s="29" t="str">
        <f>IF(OR($H8="",$T8=""),"",$H8*$T8)</f>
        <v/>
      </c>
      <c r="V8" s="30" t="s">
        <v>90</v>
      </c>
      <c r="W8" s="32" t="s">
        <v>86</v>
      </c>
    </row>
    <row r="9" spans="1:23" ht="15" customHeight="1" x14ac:dyDescent="0.25">
      <c r="A9" s="33" t="s">
        <v>91</v>
      </c>
      <c r="B9" s="34"/>
      <c r="C9" s="34"/>
      <c r="D9" s="34"/>
      <c r="E9" s="34"/>
      <c r="F9" s="34"/>
      <c r="G9" s="34"/>
      <c r="H9" s="35">
        <f>SUM(H4:H8)</f>
        <v>233</v>
      </c>
      <c r="I9" s="34"/>
      <c r="J9" s="34"/>
      <c r="K9" s="34"/>
      <c r="L9" s="34"/>
      <c r="M9" s="34"/>
      <c r="N9" s="34"/>
      <c r="O9" s="34"/>
      <c r="P9" s="34"/>
      <c r="Q9" s="36">
        <f>IFERROR(SUMPRODUCT($H4:$H8,$I4:$I8)/SUMPRODUCT($H4:$H8,$O4:$O8),"")</f>
        <v>0.79601748520603566</v>
      </c>
      <c r="R9" s="37">
        <f>SUM(R4:R8)</f>
        <v>34741.372000000003</v>
      </c>
      <c r="S9" s="34"/>
      <c r="T9" s="34"/>
      <c r="U9" s="38">
        <f>SUM(U4:U8)</f>
        <v>0</v>
      </c>
      <c r="V9" s="39" t="s">
        <v>92</v>
      </c>
      <c r="W9" s="39"/>
    </row>
    <row r="11" spans="1:23" ht="25.5" customHeight="1" x14ac:dyDescent="0.25">
      <c r="A11" s="122" t="s">
        <v>93</v>
      </c>
      <c r="B11" s="122"/>
      <c r="C11" s="122"/>
      <c r="D11" s="122"/>
      <c r="E11" s="122"/>
      <c r="F11" s="122"/>
      <c r="G11" s="122"/>
      <c r="H11" s="122"/>
      <c r="I11" s="122"/>
      <c r="J11" s="122"/>
      <c r="K11" s="122"/>
      <c r="L11" s="122"/>
      <c r="M11" s="122"/>
      <c r="N11" s="122"/>
      <c r="O11" s="122"/>
      <c r="P11" s="122"/>
      <c r="Q11" s="122"/>
      <c r="R11" s="122"/>
      <c r="S11" s="122"/>
      <c r="T11" s="122"/>
      <c r="U11" s="122"/>
      <c r="V11" s="122"/>
    </row>
    <row r="12" spans="1:23" ht="15" customHeight="1" x14ac:dyDescent="0.25">
      <c r="A12" s="5" t="s">
        <v>94</v>
      </c>
      <c r="B12" s="5"/>
      <c r="C12" s="5"/>
      <c r="D12" s="5"/>
      <c r="E12" s="5"/>
      <c r="F12" s="5"/>
      <c r="G12" s="5"/>
      <c r="H12" s="5"/>
      <c r="I12" s="5"/>
      <c r="J12" s="5"/>
      <c r="K12" s="5"/>
      <c r="L12" s="5"/>
      <c r="M12" s="5"/>
      <c r="N12" s="5"/>
      <c r="O12" s="5"/>
      <c r="P12" s="5"/>
      <c r="Q12" s="5"/>
      <c r="R12" s="5"/>
      <c r="S12" s="5"/>
      <c r="T12" s="5"/>
      <c r="U12" s="5"/>
      <c r="V12" s="5"/>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8">
    <mergeCell ref="A11:V11"/>
    <mergeCell ref="A12:V12"/>
    <mergeCell ref="A1:V1"/>
    <mergeCell ref="A2:C2"/>
    <mergeCell ref="D2:H2"/>
    <mergeCell ref="I2:O2"/>
    <mergeCell ref="P2:R2"/>
    <mergeCell ref="S2:U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A1A1A"/>
  </sheetPr>
  <dimension ref="A1:T920"/>
  <sheetViews>
    <sheetView showGridLines="0" zoomScaleNormal="100" workbookViewId="0">
      <pane ySplit="2" topLeftCell="A3" activePane="bottomLeft" state="frozen"/>
      <selection pane="bottomLeft" activeCell="B4" sqref="B4"/>
    </sheetView>
  </sheetViews>
  <sheetFormatPr baseColWidth="10" defaultColWidth="14.42578125" defaultRowHeight="15" x14ac:dyDescent="0.25"/>
  <cols>
    <col min="1" max="1" width="14" customWidth="1"/>
    <col min="2" max="2" width="10" customWidth="1"/>
    <col min="3" max="3" width="9" customWidth="1"/>
    <col min="4" max="4" width="8" customWidth="1"/>
    <col min="5" max="5" width="35.28515625" customWidth="1"/>
    <col min="6" max="7" width="6" customWidth="1"/>
    <col min="8" max="9" width="10" customWidth="1"/>
    <col min="10" max="10" width="11" customWidth="1"/>
    <col min="11" max="11" width="13" customWidth="1"/>
    <col min="12" max="12" width="8" customWidth="1"/>
    <col min="13" max="13" width="11" customWidth="1"/>
    <col min="14" max="14" width="13" customWidth="1"/>
    <col min="15" max="15" width="11" customWidth="1"/>
    <col min="16" max="16" width="16" customWidth="1"/>
    <col min="17" max="17" width="65.42578125" customWidth="1"/>
    <col min="18" max="18" width="11" customWidth="1"/>
    <col min="19" max="26" width="16" customWidth="1"/>
  </cols>
  <sheetData>
    <row r="1" spans="1:20" ht="15" customHeight="1" x14ac:dyDescent="0.25">
      <c r="A1" s="123" t="s">
        <v>95</v>
      </c>
      <c r="B1" s="123"/>
      <c r="C1" s="123"/>
      <c r="D1" s="123"/>
      <c r="E1" s="123"/>
      <c r="F1" s="123"/>
      <c r="G1" s="123"/>
      <c r="H1" s="123"/>
      <c r="I1" s="123"/>
      <c r="J1" s="123"/>
      <c r="K1" s="123"/>
      <c r="L1" s="123"/>
      <c r="M1" s="123"/>
      <c r="N1" s="123"/>
      <c r="O1" s="123"/>
      <c r="P1" s="123"/>
      <c r="Q1" s="123"/>
    </row>
    <row r="2" spans="1:20" ht="30" customHeight="1" x14ac:dyDescent="0.25">
      <c r="A2" s="40" t="s">
        <v>96</v>
      </c>
      <c r="B2" s="40" t="s">
        <v>97</v>
      </c>
      <c r="C2" s="40" t="s">
        <v>98</v>
      </c>
      <c r="D2" s="40" t="s">
        <v>99</v>
      </c>
      <c r="E2" s="40" t="s">
        <v>50</v>
      </c>
      <c r="F2" s="40" t="s">
        <v>48</v>
      </c>
      <c r="G2" s="40" t="s">
        <v>49</v>
      </c>
      <c r="H2" s="40" t="s">
        <v>100</v>
      </c>
      <c r="I2" s="40" t="s">
        <v>53</v>
      </c>
      <c r="J2" s="40" t="s">
        <v>101</v>
      </c>
      <c r="K2" s="40" t="s">
        <v>102</v>
      </c>
      <c r="L2" s="40" t="s">
        <v>103</v>
      </c>
      <c r="M2" s="40" t="s">
        <v>104</v>
      </c>
      <c r="N2" s="40" t="s">
        <v>105</v>
      </c>
      <c r="O2" s="40" t="s">
        <v>106</v>
      </c>
      <c r="P2" s="40" t="s">
        <v>107</v>
      </c>
      <c r="Q2" s="40" t="s">
        <v>108</v>
      </c>
      <c r="R2" s="40" t="s">
        <v>109</v>
      </c>
      <c r="S2" s="41" t="s">
        <v>110</v>
      </c>
      <c r="T2" s="42" t="s">
        <v>111</v>
      </c>
    </row>
    <row r="3" spans="1:20" ht="15" customHeight="1" x14ac:dyDescent="0.25">
      <c r="A3" s="43" t="s">
        <v>112</v>
      </c>
      <c r="B3" s="44" t="s">
        <v>67</v>
      </c>
      <c r="C3" s="45" t="s">
        <v>113</v>
      </c>
      <c r="D3" s="45">
        <v>2</v>
      </c>
      <c r="E3" s="45" t="s">
        <v>70</v>
      </c>
      <c r="F3" s="46">
        <f>IFERROR(VLOOKUP($B3,Tipologias!$A$4:$V$8,5,0),"")</f>
        <v>4</v>
      </c>
      <c r="G3" s="46">
        <f>IFERROR(VLOOKUP($B3,Tipologias!$A$4:$V$8,6,0),"")</f>
        <v>4.5</v>
      </c>
      <c r="H3" s="47">
        <f>IFERROR(VLOOKUP($B3,Tipologias!$A$4:$V$8,9,0),"")</f>
        <v>321.62099999999998</v>
      </c>
      <c r="I3" s="47">
        <f>IFERROR(VLOOKUP($B3,Tipologias!$A$4:$V$8,10,0),"")</f>
        <v>94.981999999999999</v>
      </c>
      <c r="J3" s="47">
        <f>IFERROR(VLOOKUP($B3,Tipologias!$A$4:$V$8,16,0),"")</f>
        <v>445.60299999999995</v>
      </c>
      <c r="K3" s="45" t="s">
        <v>114</v>
      </c>
      <c r="L3" s="45"/>
      <c r="M3" s="48">
        <f>IFERROR(VLOOKUP($B3,Tipologias!$A$4:$V$8,19,0),"")</f>
        <v>0</v>
      </c>
      <c r="N3" s="48">
        <f t="shared" ref="N3:N66" si="0">IF(OR($M3="",$J3=""),"",$M3*$J3)</f>
        <v>0</v>
      </c>
      <c r="O3" s="48"/>
      <c r="P3" s="45"/>
      <c r="Q3" s="49" t="s">
        <v>115</v>
      </c>
      <c r="R3" s="50">
        <v>1004.58</v>
      </c>
      <c r="S3" s="51">
        <f>IF(OR($H3="",$I3="",$R3=""),"",$R3*Precios!$B$5+$H3*Precios!$B$6+$I3*Precios!$B$7)</f>
        <v>707704.7</v>
      </c>
      <c r="T3" s="52">
        <f>Precios_v2!L14</f>
        <v>761000</v>
      </c>
    </row>
    <row r="4" spans="1:20" ht="15" customHeight="1" x14ac:dyDescent="0.25">
      <c r="A4" s="53" t="s">
        <v>116</v>
      </c>
      <c r="B4" s="54" t="s">
        <v>67</v>
      </c>
      <c r="C4" s="55" t="s">
        <v>113</v>
      </c>
      <c r="D4" s="55">
        <v>2</v>
      </c>
      <c r="E4" s="55" t="s">
        <v>70</v>
      </c>
      <c r="F4" s="56">
        <f>IFERROR(VLOOKUP($B4,Tipologias!$A$4:$V$8,5,0),"")</f>
        <v>4</v>
      </c>
      <c r="G4" s="56">
        <f>IFERROR(VLOOKUP($B4,Tipologias!$A$4:$V$8,6,0),"")</f>
        <v>4.5</v>
      </c>
      <c r="H4" s="57">
        <f>IFERROR(VLOOKUP($B4,Tipologias!$A$4:$V$8,9,0),"")</f>
        <v>321.62099999999998</v>
      </c>
      <c r="I4" s="57">
        <f>IFERROR(VLOOKUP($B4,Tipologias!$A$4:$V$8,10,0),"")</f>
        <v>94.981999999999999</v>
      </c>
      <c r="J4" s="57">
        <f>IFERROR(VLOOKUP($B4,Tipologias!$A$4:$V$8,16,0),"")</f>
        <v>445.60299999999995</v>
      </c>
      <c r="K4" s="55" t="s">
        <v>114</v>
      </c>
      <c r="L4" s="55"/>
      <c r="M4" s="58">
        <f>IFERROR(VLOOKUP($B4,Tipologias!$A$4:$V$8,19,0),"")</f>
        <v>0</v>
      </c>
      <c r="N4" s="58">
        <f t="shared" si="0"/>
        <v>0</v>
      </c>
      <c r="O4" s="58"/>
      <c r="P4" s="55"/>
      <c r="Q4" s="59" t="s">
        <v>117</v>
      </c>
      <c r="R4" s="50">
        <v>1067.4000000000001</v>
      </c>
      <c r="S4" s="51">
        <f>IF(OR($H4="",$I4="",$R4=""),"",$R4*Precios!$B$5+$H4*Precios!$B$6+$I4*Precios!$B$7)</f>
        <v>709589.29999999993</v>
      </c>
      <c r="T4" s="52">
        <f>Precios_v2!L15</f>
        <v>747000</v>
      </c>
    </row>
    <row r="5" spans="1:20" ht="15" customHeight="1" x14ac:dyDescent="0.25">
      <c r="A5" s="53" t="s">
        <v>118</v>
      </c>
      <c r="B5" s="54" t="s">
        <v>67</v>
      </c>
      <c r="C5" s="55" t="s">
        <v>113</v>
      </c>
      <c r="D5" s="55">
        <v>2</v>
      </c>
      <c r="E5" s="55" t="s">
        <v>70</v>
      </c>
      <c r="F5" s="56">
        <f>IFERROR(VLOOKUP($B5,Tipologias!$A$4:$V$8,5,0),"")</f>
        <v>4</v>
      </c>
      <c r="G5" s="56">
        <f>IFERROR(VLOOKUP($B5,Tipologias!$A$4:$V$8,6,0),"")</f>
        <v>4.5</v>
      </c>
      <c r="H5" s="57">
        <f>IFERROR(VLOOKUP($B5,Tipologias!$A$4:$V$8,9,0),"")</f>
        <v>321.62099999999998</v>
      </c>
      <c r="I5" s="57">
        <f>IFERROR(VLOOKUP($B5,Tipologias!$A$4:$V$8,10,0),"")</f>
        <v>94.981999999999999</v>
      </c>
      <c r="J5" s="57">
        <f>IFERROR(VLOOKUP($B5,Tipologias!$A$4:$V$8,16,0),"")</f>
        <v>445.60299999999995</v>
      </c>
      <c r="K5" s="55" t="s">
        <v>114</v>
      </c>
      <c r="L5" s="55"/>
      <c r="M5" s="58">
        <f>IFERROR(VLOOKUP($B5,Tipologias!$A$4:$V$8,19,0),"")</f>
        <v>0</v>
      </c>
      <c r="N5" s="58">
        <f t="shared" si="0"/>
        <v>0</v>
      </c>
      <c r="O5" s="58"/>
      <c r="P5" s="55"/>
      <c r="Q5" s="59" t="s">
        <v>119</v>
      </c>
      <c r="R5" s="50">
        <v>772.2</v>
      </c>
      <c r="S5" s="51">
        <f>IF(OR($H5="",$I5="",$R5=""),"",$R5*Precios!$B$5+$H5*Precios!$B$6+$I5*Precios!$B$7)</f>
        <v>700733.29999999993</v>
      </c>
      <c r="T5" s="52">
        <f>Precios_v2!L16</f>
        <v>695000</v>
      </c>
    </row>
    <row r="6" spans="1:20" ht="15" customHeight="1" x14ac:dyDescent="0.25">
      <c r="A6" s="53" t="s">
        <v>120</v>
      </c>
      <c r="B6" s="54" t="s">
        <v>67</v>
      </c>
      <c r="C6" s="55" t="s">
        <v>113</v>
      </c>
      <c r="D6" s="55">
        <v>2</v>
      </c>
      <c r="E6" s="55" t="s">
        <v>70</v>
      </c>
      <c r="F6" s="56">
        <f>IFERROR(VLOOKUP($B6,Tipologias!$A$4:$V$8,5,0),"")</f>
        <v>4</v>
      </c>
      <c r="G6" s="56">
        <f>IFERROR(VLOOKUP($B6,Tipologias!$A$4:$V$8,6,0),"")</f>
        <v>4.5</v>
      </c>
      <c r="H6" s="57">
        <f>IFERROR(VLOOKUP($B6,Tipologias!$A$4:$V$8,9,0),"")</f>
        <v>321.62099999999998</v>
      </c>
      <c r="I6" s="57">
        <f>IFERROR(VLOOKUP($B6,Tipologias!$A$4:$V$8,10,0),"")</f>
        <v>94.981999999999999</v>
      </c>
      <c r="J6" s="57">
        <f>IFERROR(VLOOKUP($B6,Tipologias!$A$4:$V$8,16,0),"")</f>
        <v>445.60299999999995</v>
      </c>
      <c r="K6" s="55" t="s">
        <v>114</v>
      </c>
      <c r="L6" s="55"/>
      <c r="M6" s="58">
        <f>IFERROR(VLOOKUP($B6,Tipologias!$A$4:$V$8,19,0),"")</f>
        <v>0</v>
      </c>
      <c r="N6" s="58">
        <f t="shared" si="0"/>
        <v>0</v>
      </c>
      <c r="O6" s="58"/>
      <c r="P6" s="55"/>
      <c r="Q6" s="59" t="s">
        <v>121</v>
      </c>
      <c r="R6" s="50">
        <v>794.87</v>
      </c>
      <c r="S6" s="51">
        <f>IF(OR($H6="",$I6="",$R6=""),"",$R6*Precios!$B$5+$H6*Precios!$B$6+$I6*Precios!$B$7)</f>
        <v>701413.39999999991</v>
      </c>
      <c r="T6" s="52">
        <f>Precios_v2!L17</f>
        <v>716000</v>
      </c>
    </row>
    <row r="7" spans="1:20" ht="15" customHeight="1" x14ac:dyDescent="0.25">
      <c r="A7" s="53" t="s">
        <v>122</v>
      </c>
      <c r="B7" s="54" t="s">
        <v>67</v>
      </c>
      <c r="C7" s="55" t="s">
        <v>113</v>
      </c>
      <c r="D7" s="55">
        <v>2</v>
      </c>
      <c r="E7" s="55" t="s">
        <v>70</v>
      </c>
      <c r="F7" s="56">
        <f>IFERROR(VLOOKUP($B7,Tipologias!$A$4:$V$8,5,0),"")</f>
        <v>4</v>
      </c>
      <c r="G7" s="56">
        <f>IFERROR(VLOOKUP($B7,Tipologias!$A$4:$V$8,6,0),"")</f>
        <v>4.5</v>
      </c>
      <c r="H7" s="57">
        <f>IFERROR(VLOOKUP($B7,Tipologias!$A$4:$V$8,9,0),"")</f>
        <v>321.62099999999998</v>
      </c>
      <c r="I7" s="57">
        <f>IFERROR(VLOOKUP($B7,Tipologias!$A$4:$V$8,10,0),"")</f>
        <v>94.981999999999999</v>
      </c>
      <c r="J7" s="57">
        <f>IFERROR(VLOOKUP($B7,Tipologias!$A$4:$V$8,16,0),"")</f>
        <v>445.60299999999995</v>
      </c>
      <c r="K7" s="55" t="s">
        <v>114</v>
      </c>
      <c r="L7" s="55"/>
      <c r="M7" s="58">
        <f>IFERROR(VLOOKUP($B7,Tipologias!$A$4:$V$8,19,0),"")</f>
        <v>0</v>
      </c>
      <c r="N7" s="58">
        <f t="shared" si="0"/>
        <v>0</v>
      </c>
      <c r="O7" s="58"/>
      <c r="P7" s="55"/>
      <c r="Q7" s="59" t="s">
        <v>123</v>
      </c>
      <c r="R7" s="50">
        <v>801.89</v>
      </c>
      <c r="S7" s="51">
        <f>IF(OR($H7="",$I7="",$R7=""),"",$R7*Precios!$B$5+$H7*Precios!$B$6+$I7*Precios!$B$7)</f>
        <v>701623.99999999988</v>
      </c>
      <c r="T7" s="52">
        <f>Precios_v2!L18</f>
        <v>716000</v>
      </c>
    </row>
    <row r="8" spans="1:20" ht="15" customHeight="1" x14ac:dyDescent="0.25">
      <c r="A8" s="53" t="s">
        <v>124</v>
      </c>
      <c r="B8" s="54" t="s">
        <v>67</v>
      </c>
      <c r="C8" s="55" t="s">
        <v>113</v>
      </c>
      <c r="D8" s="55">
        <v>2</v>
      </c>
      <c r="E8" s="55" t="s">
        <v>70</v>
      </c>
      <c r="F8" s="56">
        <f>IFERROR(VLOOKUP($B8,Tipologias!$A$4:$V$8,5,0),"")</f>
        <v>4</v>
      </c>
      <c r="G8" s="56">
        <f>IFERROR(VLOOKUP($B8,Tipologias!$A$4:$V$8,6,0),"")</f>
        <v>4.5</v>
      </c>
      <c r="H8" s="57">
        <f>IFERROR(VLOOKUP($B8,Tipologias!$A$4:$V$8,9,0),"")</f>
        <v>321.62099999999998</v>
      </c>
      <c r="I8" s="57">
        <f>IFERROR(VLOOKUP($B8,Tipologias!$A$4:$V$8,10,0),"")</f>
        <v>94.981999999999999</v>
      </c>
      <c r="J8" s="57">
        <f>IFERROR(VLOOKUP($B8,Tipologias!$A$4:$V$8,16,0),"")</f>
        <v>445.60299999999995</v>
      </c>
      <c r="K8" s="55" t="s">
        <v>114</v>
      </c>
      <c r="L8" s="55"/>
      <c r="M8" s="58">
        <f>IFERROR(VLOOKUP($B8,Tipologias!$A$4:$V$8,19,0),"")</f>
        <v>0</v>
      </c>
      <c r="N8" s="58">
        <f t="shared" si="0"/>
        <v>0</v>
      </c>
      <c r="O8" s="58"/>
      <c r="P8" s="55"/>
      <c r="Q8" s="59" t="s">
        <v>125</v>
      </c>
      <c r="R8" s="50">
        <v>828.77</v>
      </c>
      <c r="S8" s="51">
        <f>IF(OR($H8="",$I8="",$R8=""),"",$R8*Precios!$B$5+$H8*Precios!$B$6+$I8*Precios!$B$7)</f>
        <v>702430.39999999991</v>
      </c>
      <c r="T8" s="52">
        <f>Precios_v2!L19</f>
        <v>695000</v>
      </c>
    </row>
    <row r="9" spans="1:20" ht="15" customHeight="1" x14ac:dyDescent="0.25">
      <c r="A9" s="53" t="s">
        <v>126</v>
      </c>
      <c r="B9" s="54" t="s">
        <v>67</v>
      </c>
      <c r="C9" s="55" t="s">
        <v>113</v>
      </c>
      <c r="D9" s="55">
        <v>2</v>
      </c>
      <c r="E9" s="55" t="s">
        <v>70</v>
      </c>
      <c r="F9" s="56">
        <f>IFERROR(VLOOKUP($B9,Tipologias!$A$4:$V$8,5,0),"")</f>
        <v>4</v>
      </c>
      <c r="G9" s="56">
        <f>IFERROR(VLOOKUP($B9,Tipologias!$A$4:$V$8,6,0),"")</f>
        <v>4.5</v>
      </c>
      <c r="H9" s="57">
        <f>IFERROR(VLOOKUP($B9,Tipologias!$A$4:$V$8,9,0),"")</f>
        <v>321.62099999999998</v>
      </c>
      <c r="I9" s="57">
        <f>IFERROR(VLOOKUP($B9,Tipologias!$A$4:$V$8,10,0),"")</f>
        <v>94.981999999999999</v>
      </c>
      <c r="J9" s="57">
        <f>IFERROR(VLOOKUP($B9,Tipologias!$A$4:$V$8,16,0),"")</f>
        <v>445.60299999999995</v>
      </c>
      <c r="K9" s="55" t="s">
        <v>114</v>
      </c>
      <c r="L9" s="55"/>
      <c r="M9" s="58">
        <f>IFERROR(VLOOKUP($B9,Tipologias!$A$4:$V$8,19,0),"")</f>
        <v>0</v>
      </c>
      <c r="N9" s="58">
        <f t="shared" si="0"/>
        <v>0</v>
      </c>
      <c r="O9" s="58"/>
      <c r="P9" s="55"/>
      <c r="Q9" s="59" t="s">
        <v>127</v>
      </c>
      <c r="R9" s="50">
        <v>788.69</v>
      </c>
      <c r="S9" s="51">
        <f>IF(OR($H9="",$I9="",$R9=""),"",$R9*Precios!$B$5+$H9*Precios!$B$6+$I9*Precios!$B$7)</f>
        <v>701227.99999999988</v>
      </c>
      <c r="T9" s="52">
        <f>Precios_v2!L20</f>
        <v>716000</v>
      </c>
    </row>
    <row r="10" spans="1:20" ht="15" customHeight="1" x14ac:dyDescent="0.25">
      <c r="A10" s="53" t="s">
        <v>128</v>
      </c>
      <c r="B10" s="54" t="s">
        <v>67</v>
      </c>
      <c r="C10" s="55" t="s">
        <v>113</v>
      </c>
      <c r="D10" s="55">
        <v>2</v>
      </c>
      <c r="E10" s="55" t="s">
        <v>70</v>
      </c>
      <c r="F10" s="56">
        <f>IFERROR(VLOOKUP($B10,Tipologias!$A$4:$V$8,5,0),"")</f>
        <v>4</v>
      </c>
      <c r="G10" s="56">
        <f>IFERROR(VLOOKUP($B10,Tipologias!$A$4:$V$8,6,0),"")</f>
        <v>4.5</v>
      </c>
      <c r="H10" s="57">
        <f>IFERROR(VLOOKUP($B10,Tipologias!$A$4:$V$8,9,0),"")</f>
        <v>321.62099999999998</v>
      </c>
      <c r="I10" s="57">
        <f>IFERROR(VLOOKUP($B10,Tipologias!$A$4:$V$8,10,0),"")</f>
        <v>94.981999999999999</v>
      </c>
      <c r="J10" s="57">
        <f>IFERROR(VLOOKUP($B10,Tipologias!$A$4:$V$8,16,0),"")</f>
        <v>445.60299999999995</v>
      </c>
      <c r="K10" s="55" t="s">
        <v>114</v>
      </c>
      <c r="L10" s="55"/>
      <c r="M10" s="58">
        <f>IFERROR(VLOOKUP($B10,Tipologias!$A$4:$V$8,19,0),"")</f>
        <v>0</v>
      </c>
      <c r="N10" s="58">
        <f t="shared" si="0"/>
        <v>0</v>
      </c>
      <c r="O10" s="58"/>
      <c r="P10" s="55"/>
      <c r="Q10" s="59" t="s">
        <v>129</v>
      </c>
      <c r="R10" s="50">
        <v>1228.17</v>
      </c>
      <c r="S10" s="51">
        <f>IF(OR($H10="",$I10="",$R10=""),"",$R10*Precios!$B$5+$H10*Precios!$B$6+$I10*Precios!$B$7)</f>
        <v>714412.39999999991</v>
      </c>
      <c r="T10" s="52">
        <f>Precios_v2!L21</f>
        <v>707000</v>
      </c>
    </row>
    <row r="11" spans="1:20" ht="15" customHeight="1" x14ac:dyDescent="0.25">
      <c r="A11" s="53" t="s">
        <v>130</v>
      </c>
      <c r="B11" s="54" t="s">
        <v>67</v>
      </c>
      <c r="C11" s="55" t="s">
        <v>113</v>
      </c>
      <c r="D11" s="55">
        <v>2</v>
      </c>
      <c r="E11" s="55" t="s">
        <v>70</v>
      </c>
      <c r="F11" s="56">
        <f>IFERROR(VLOOKUP($B11,Tipologias!$A$4:$V$8,5,0),"")</f>
        <v>4</v>
      </c>
      <c r="G11" s="56">
        <f>IFERROR(VLOOKUP($B11,Tipologias!$A$4:$V$8,6,0),"")</f>
        <v>4.5</v>
      </c>
      <c r="H11" s="57">
        <f>IFERROR(VLOOKUP($B11,Tipologias!$A$4:$V$8,9,0),"")</f>
        <v>321.62099999999998</v>
      </c>
      <c r="I11" s="57">
        <f>IFERROR(VLOOKUP($B11,Tipologias!$A$4:$V$8,10,0),"")</f>
        <v>94.981999999999999</v>
      </c>
      <c r="J11" s="57">
        <f>IFERROR(VLOOKUP($B11,Tipologias!$A$4:$V$8,16,0),"")</f>
        <v>445.60299999999995</v>
      </c>
      <c r="K11" s="55" t="s">
        <v>114</v>
      </c>
      <c r="L11" s="55"/>
      <c r="M11" s="58">
        <f>IFERROR(VLOOKUP($B11,Tipologias!$A$4:$V$8,19,0),"")</f>
        <v>0</v>
      </c>
      <c r="N11" s="58">
        <f t="shared" si="0"/>
        <v>0</v>
      </c>
      <c r="O11" s="58"/>
      <c r="P11" s="55"/>
      <c r="Q11" s="59" t="s">
        <v>131</v>
      </c>
      <c r="R11" s="50">
        <v>932</v>
      </c>
      <c r="S11" s="51">
        <f>IF(OR($H11="",$I11="",$R11=""),"",$R11*Precios!$B$5+$H11*Precios!$B$6+$I11*Precios!$B$7)</f>
        <v>705527.29999999993</v>
      </c>
      <c r="T11" s="52">
        <f>Precios_v2!L22</f>
        <v>732000</v>
      </c>
    </row>
    <row r="12" spans="1:20" ht="15" customHeight="1" x14ac:dyDescent="0.25">
      <c r="A12" s="53" t="s">
        <v>132</v>
      </c>
      <c r="B12" s="54" t="s">
        <v>67</v>
      </c>
      <c r="C12" s="55" t="s">
        <v>113</v>
      </c>
      <c r="D12" s="55">
        <v>2</v>
      </c>
      <c r="E12" s="55" t="s">
        <v>70</v>
      </c>
      <c r="F12" s="56">
        <f>IFERROR(VLOOKUP($B12,Tipologias!$A$4:$V$8,5,0),"")</f>
        <v>4</v>
      </c>
      <c r="G12" s="56">
        <f>IFERROR(VLOOKUP($B12,Tipologias!$A$4:$V$8,6,0),"")</f>
        <v>4.5</v>
      </c>
      <c r="H12" s="57">
        <f>IFERROR(VLOOKUP($B12,Tipologias!$A$4:$V$8,9,0),"")</f>
        <v>321.62099999999998</v>
      </c>
      <c r="I12" s="57">
        <f>IFERROR(VLOOKUP($B12,Tipologias!$A$4:$V$8,10,0),"")</f>
        <v>94.981999999999999</v>
      </c>
      <c r="J12" s="57">
        <f>IFERROR(VLOOKUP($B12,Tipologias!$A$4:$V$8,16,0),"")</f>
        <v>445.60299999999995</v>
      </c>
      <c r="K12" s="55" t="s">
        <v>114</v>
      </c>
      <c r="L12" s="55"/>
      <c r="M12" s="58">
        <f>IFERROR(VLOOKUP($B12,Tipologias!$A$4:$V$8,19,0),"")</f>
        <v>0</v>
      </c>
      <c r="N12" s="58">
        <f t="shared" si="0"/>
        <v>0</v>
      </c>
      <c r="O12" s="58"/>
      <c r="P12" s="55"/>
      <c r="Q12" s="59" t="s">
        <v>133</v>
      </c>
      <c r="R12" s="50">
        <v>883.19</v>
      </c>
      <c r="S12" s="51">
        <f>IF(OR($H12="",$I12="",$R12=""),"",$R12*Precios!$B$5+$H12*Precios!$B$6+$I12*Precios!$B$7)</f>
        <v>704062.99999999988</v>
      </c>
      <c r="T12" s="52">
        <f>Precios_v2!L23</f>
        <v>710000</v>
      </c>
    </row>
    <row r="13" spans="1:20" ht="15" customHeight="1" x14ac:dyDescent="0.25">
      <c r="A13" s="53" t="s">
        <v>134</v>
      </c>
      <c r="B13" s="54" t="s">
        <v>67</v>
      </c>
      <c r="C13" s="55" t="s">
        <v>113</v>
      </c>
      <c r="D13" s="55">
        <v>2</v>
      </c>
      <c r="E13" s="55" t="s">
        <v>70</v>
      </c>
      <c r="F13" s="56">
        <f>IFERROR(VLOOKUP($B13,Tipologias!$A$4:$V$8,5,0),"")</f>
        <v>4</v>
      </c>
      <c r="G13" s="56">
        <f>IFERROR(VLOOKUP($B13,Tipologias!$A$4:$V$8,6,0),"")</f>
        <v>4.5</v>
      </c>
      <c r="H13" s="57">
        <f>IFERROR(VLOOKUP($B13,Tipologias!$A$4:$V$8,9,0),"")</f>
        <v>321.62099999999998</v>
      </c>
      <c r="I13" s="57">
        <f>IFERROR(VLOOKUP($B13,Tipologias!$A$4:$V$8,10,0),"")</f>
        <v>94.981999999999999</v>
      </c>
      <c r="J13" s="57">
        <f>IFERROR(VLOOKUP($B13,Tipologias!$A$4:$V$8,16,0),"")</f>
        <v>445.60299999999995</v>
      </c>
      <c r="K13" s="55" t="s">
        <v>114</v>
      </c>
      <c r="L13" s="55"/>
      <c r="M13" s="58">
        <f>IFERROR(VLOOKUP($B13,Tipologias!$A$4:$V$8,19,0),"")</f>
        <v>0</v>
      </c>
      <c r="N13" s="58">
        <f t="shared" si="0"/>
        <v>0</v>
      </c>
      <c r="O13" s="58"/>
      <c r="P13" s="55"/>
      <c r="Q13" s="59" t="s">
        <v>135</v>
      </c>
      <c r="R13" s="50">
        <v>811.64</v>
      </c>
      <c r="S13" s="51">
        <f>IF(OR($H13="",$I13="",$R13=""),"",$R13*Precios!$B$5+$H13*Precios!$B$6+$I13*Precios!$B$7)</f>
        <v>701916.49999999988</v>
      </c>
      <c r="T13" s="52">
        <f>Precios_v2!L24</f>
        <v>702000</v>
      </c>
    </row>
    <row r="14" spans="1:20" ht="15" customHeight="1" x14ac:dyDescent="0.25">
      <c r="A14" s="53" t="s">
        <v>136</v>
      </c>
      <c r="B14" s="54" t="s">
        <v>67</v>
      </c>
      <c r="C14" s="55" t="s">
        <v>113</v>
      </c>
      <c r="D14" s="55">
        <v>2</v>
      </c>
      <c r="E14" s="55" t="s">
        <v>70</v>
      </c>
      <c r="F14" s="56">
        <f>IFERROR(VLOOKUP($B14,Tipologias!$A$4:$V$8,5,0),"")</f>
        <v>4</v>
      </c>
      <c r="G14" s="56">
        <f>IFERROR(VLOOKUP($B14,Tipologias!$A$4:$V$8,6,0),"")</f>
        <v>4.5</v>
      </c>
      <c r="H14" s="57">
        <f>IFERROR(VLOOKUP($B14,Tipologias!$A$4:$V$8,9,0),"")</f>
        <v>321.62099999999998</v>
      </c>
      <c r="I14" s="57">
        <f>IFERROR(VLOOKUP($B14,Tipologias!$A$4:$V$8,10,0),"")</f>
        <v>94.981999999999999</v>
      </c>
      <c r="J14" s="57">
        <f>IFERROR(VLOOKUP($B14,Tipologias!$A$4:$V$8,16,0),"")</f>
        <v>445.60299999999995</v>
      </c>
      <c r="K14" s="55" t="s">
        <v>114</v>
      </c>
      <c r="L14" s="55"/>
      <c r="M14" s="58">
        <f>IFERROR(VLOOKUP($B14,Tipologias!$A$4:$V$8,19,0),"")</f>
        <v>0</v>
      </c>
      <c r="N14" s="58">
        <f t="shared" si="0"/>
        <v>0</v>
      </c>
      <c r="O14" s="58"/>
      <c r="P14" s="55"/>
      <c r="Q14" s="59" t="s">
        <v>137</v>
      </c>
      <c r="R14" s="50">
        <v>832.55</v>
      </c>
      <c r="S14" s="51">
        <f>IF(OR($H14="",$I14="",$R14=""),"",$R14*Precios!$B$5+$H14*Precios!$B$6+$I14*Precios!$B$7)</f>
        <v>702543.79999999993</v>
      </c>
      <c r="T14" s="52">
        <f>Precios_v2!L25</f>
        <v>773000</v>
      </c>
    </row>
    <row r="15" spans="1:20" ht="15" customHeight="1" x14ac:dyDescent="0.25">
      <c r="A15" s="53" t="s">
        <v>138</v>
      </c>
      <c r="B15" s="54" t="s">
        <v>67</v>
      </c>
      <c r="C15" s="55" t="s">
        <v>113</v>
      </c>
      <c r="D15" s="55">
        <v>2</v>
      </c>
      <c r="E15" s="55" t="s">
        <v>70</v>
      </c>
      <c r="F15" s="56">
        <f>IFERROR(VLOOKUP($B15,Tipologias!$A$4:$V$8,5,0),"")</f>
        <v>4</v>
      </c>
      <c r="G15" s="56">
        <f>IFERROR(VLOOKUP($B15,Tipologias!$A$4:$V$8,6,0),"")</f>
        <v>4.5</v>
      </c>
      <c r="H15" s="57">
        <f>IFERROR(VLOOKUP($B15,Tipologias!$A$4:$V$8,9,0),"")</f>
        <v>321.62099999999998</v>
      </c>
      <c r="I15" s="57">
        <f>IFERROR(VLOOKUP($B15,Tipologias!$A$4:$V$8,10,0),"")</f>
        <v>94.981999999999999</v>
      </c>
      <c r="J15" s="57">
        <f>IFERROR(VLOOKUP($B15,Tipologias!$A$4:$V$8,16,0),"")</f>
        <v>445.60299999999995</v>
      </c>
      <c r="K15" s="55" t="s">
        <v>114</v>
      </c>
      <c r="L15" s="55"/>
      <c r="M15" s="58">
        <f>IFERROR(VLOOKUP($B15,Tipologias!$A$4:$V$8,19,0),"")</f>
        <v>0</v>
      </c>
      <c r="N15" s="58">
        <f t="shared" si="0"/>
        <v>0</v>
      </c>
      <c r="O15" s="58"/>
      <c r="P15" s="55"/>
      <c r="Q15" s="59" t="s">
        <v>139</v>
      </c>
      <c r="R15" s="50">
        <v>840.4</v>
      </c>
      <c r="S15" s="51">
        <f>IF(OR($H15="",$I15="",$R15=""),"",$R15*Precios!$B$5+$H15*Precios!$B$6+$I15*Precios!$B$7)</f>
        <v>702779.29999999993</v>
      </c>
      <c r="T15" s="52">
        <f>Precios_v2!L26</f>
        <v>710000</v>
      </c>
    </row>
    <row r="16" spans="1:20" ht="15" customHeight="1" x14ac:dyDescent="0.25">
      <c r="A16" s="53" t="s">
        <v>140</v>
      </c>
      <c r="B16" s="54" t="s">
        <v>67</v>
      </c>
      <c r="C16" s="55" t="s">
        <v>113</v>
      </c>
      <c r="D16" s="55">
        <v>2</v>
      </c>
      <c r="E16" s="55" t="s">
        <v>70</v>
      </c>
      <c r="F16" s="56">
        <f>IFERROR(VLOOKUP($B16,Tipologias!$A$4:$V$8,5,0),"")</f>
        <v>4</v>
      </c>
      <c r="G16" s="56">
        <f>IFERROR(VLOOKUP($B16,Tipologias!$A$4:$V$8,6,0),"")</f>
        <v>4.5</v>
      </c>
      <c r="H16" s="57">
        <f>IFERROR(VLOOKUP($B16,Tipologias!$A$4:$V$8,9,0),"")</f>
        <v>321.62099999999998</v>
      </c>
      <c r="I16" s="57">
        <f>IFERROR(VLOOKUP($B16,Tipologias!$A$4:$V$8,10,0),"")</f>
        <v>94.981999999999999</v>
      </c>
      <c r="J16" s="57">
        <f>IFERROR(VLOOKUP($B16,Tipologias!$A$4:$V$8,16,0),"")</f>
        <v>445.60299999999995</v>
      </c>
      <c r="K16" s="55" t="s">
        <v>114</v>
      </c>
      <c r="L16" s="55"/>
      <c r="M16" s="58">
        <f>IFERROR(VLOOKUP($B16,Tipologias!$A$4:$V$8,19,0),"")</f>
        <v>0</v>
      </c>
      <c r="N16" s="58">
        <f t="shared" si="0"/>
        <v>0</v>
      </c>
      <c r="O16" s="58"/>
      <c r="P16" s="55"/>
      <c r="Q16" s="59" t="s">
        <v>141</v>
      </c>
      <c r="R16" s="50">
        <v>813.31</v>
      </c>
      <c r="S16" s="51">
        <f>IF(OR($H16="",$I16="",$R16=""),"",$R16*Precios!$B$5+$H16*Precios!$B$6+$I16*Precios!$B$7)</f>
        <v>701966.6</v>
      </c>
      <c r="T16" s="52">
        <f>Precios_v2!L27</f>
        <v>751000</v>
      </c>
    </row>
    <row r="17" spans="1:20" ht="15" customHeight="1" x14ac:dyDescent="0.25">
      <c r="A17" s="53" t="s">
        <v>142</v>
      </c>
      <c r="B17" s="54" t="s">
        <v>67</v>
      </c>
      <c r="C17" s="55" t="s">
        <v>113</v>
      </c>
      <c r="D17" s="55">
        <v>2</v>
      </c>
      <c r="E17" s="55" t="s">
        <v>70</v>
      </c>
      <c r="F17" s="56">
        <f>IFERROR(VLOOKUP($B17,Tipologias!$A$4:$V$8,5,0),"")</f>
        <v>4</v>
      </c>
      <c r="G17" s="56">
        <f>IFERROR(VLOOKUP($B17,Tipologias!$A$4:$V$8,6,0),"")</f>
        <v>4.5</v>
      </c>
      <c r="H17" s="57">
        <f>IFERROR(VLOOKUP($B17,Tipologias!$A$4:$V$8,9,0),"")</f>
        <v>321.62099999999998</v>
      </c>
      <c r="I17" s="57">
        <f>IFERROR(VLOOKUP($B17,Tipologias!$A$4:$V$8,10,0),"")</f>
        <v>94.981999999999999</v>
      </c>
      <c r="J17" s="57">
        <f>IFERROR(VLOOKUP($B17,Tipologias!$A$4:$V$8,16,0),"")</f>
        <v>445.60299999999995</v>
      </c>
      <c r="K17" s="55" t="s">
        <v>114</v>
      </c>
      <c r="L17" s="55"/>
      <c r="M17" s="58">
        <f>IFERROR(VLOOKUP($B17,Tipologias!$A$4:$V$8,19,0),"")</f>
        <v>0</v>
      </c>
      <c r="N17" s="58">
        <f t="shared" si="0"/>
        <v>0</v>
      </c>
      <c r="O17" s="58"/>
      <c r="P17" s="55"/>
      <c r="Q17" s="59" t="s">
        <v>143</v>
      </c>
      <c r="R17" s="50">
        <v>922.55</v>
      </c>
      <c r="S17" s="51">
        <f>IF(OR($H17="",$I17="",$R17=""),"",$R17*Precios!$B$5+$H17*Precios!$B$6+$I17*Precios!$B$7)</f>
        <v>705243.79999999993</v>
      </c>
      <c r="T17" s="52">
        <f>Precios_v2!L28</f>
        <v>682000</v>
      </c>
    </row>
    <row r="18" spans="1:20" ht="15.75" customHeight="1" x14ac:dyDescent="0.25">
      <c r="A18" s="53" t="s">
        <v>144</v>
      </c>
      <c r="B18" s="54" t="s">
        <v>67</v>
      </c>
      <c r="C18" s="55" t="s">
        <v>113</v>
      </c>
      <c r="D18" s="55">
        <v>2</v>
      </c>
      <c r="E18" s="55" t="s">
        <v>70</v>
      </c>
      <c r="F18" s="56">
        <f>IFERROR(VLOOKUP($B18,Tipologias!$A$4:$V$8,5,0),"")</f>
        <v>4</v>
      </c>
      <c r="G18" s="56">
        <f>IFERROR(VLOOKUP($B18,Tipologias!$A$4:$V$8,6,0),"")</f>
        <v>4.5</v>
      </c>
      <c r="H18" s="57">
        <f>IFERROR(VLOOKUP($B18,Tipologias!$A$4:$V$8,9,0),"")</f>
        <v>321.62099999999998</v>
      </c>
      <c r="I18" s="57">
        <f>IFERROR(VLOOKUP($B18,Tipologias!$A$4:$V$8,10,0),"")</f>
        <v>94.981999999999999</v>
      </c>
      <c r="J18" s="57">
        <f>IFERROR(VLOOKUP($B18,Tipologias!$A$4:$V$8,16,0),"")</f>
        <v>445.60299999999995</v>
      </c>
      <c r="K18" s="55" t="s">
        <v>114</v>
      </c>
      <c r="L18" s="55"/>
      <c r="M18" s="58">
        <f>IFERROR(VLOOKUP($B18,Tipologias!$A$4:$V$8,19,0),"")</f>
        <v>0</v>
      </c>
      <c r="N18" s="58">
        <f t="shared" si="0"/>
        <v>0</v>
      </c>
      <c r="O18" s="58"/>
      <c r="P18" s="55"/>
      <c r="Q18" s="59" t="s">
        <v>145</v>
      </c>
      <c r="R18" s="50">
        <v>848.54</v>
      </c>
      <c r="S18" s="51">
        <f>IF(OR($H18="",$I18="",$R18=""),"",$R18*Precios!$B$5+$H18*Precios!$B$6+$I18*Precios!$B$7)</f>
        <v>703023.49999999988</v>
      </c>
      <c r="T18" s="52">
        <f>Precios_v2!L29</f>
        <v>710000</v>
      </c>
    </row>
    <row r="19" spans="1:20" ht="15.75" customHeight="1" x14ac:dyDescent="0.25">
      <c r="A19" s="53" t="s">
        <v>146</v>
      </c>
      <c r="B19" s="54" t="s">
        <v>67</v>
      </c>
      <c r="C19" s="55" t="s">
        <v>113</v>
      </c>
      <c r="D19" s="55">
        <v>2</v>
      </c>
      <c r="E19" s="55" t="s">
        <v>70</v>
      </c>
      <c r="F19" s="56">
        <f>IFERROR(VLOOKUP($B19,Tipologias!$A$4:$V$8,5,0),"")</f>
        <v>4</v>
      </c>
      <c r="G19" s="56">
        <f>IFERROR(VLOOKUP($B19,Tipologias!$A$4:$V$8,6,0),"")</f>
        <v>4.5</v>
      </c>
      <c r="H19" s="57">
        <f>IFERROR(VLOOKUP($B19,Tipologias!$A$4:$V$8,9,0),"")</f>
        <v>321.62099999999998</v>
      </c>
      <c r="I19" s="57">
        <f>IFERROR(VLOOKUP($B19,Tipologias!$A$4:$V$8,10,0),"")</f>
        <v>94.981999999999999</v>
      </c>
      <c r="J19" s="57">
        <f>IFERROR(VLOOKUP($B19,Tipologias!$A$4:$V$8,16,0),"")</f>
        <v>445.60299999999995</v>
      </c>
      <c r="K19" s="55" t="s">
        <v>114</v>
      </c>
      <c r="L19" s="55"/>
      <c r="M19" s="58">
        <f>IFERROR(VLOOKUP($B19,Tipologias!$A$4:$V$8,19,0),"")</f>
        <v>0</v>
      </c>
      <c r="N19" s="58">
        <f t="shared" si="0"/>
        <v>0</v>
      </c>
      <c r="O19" s="58"/>
      <c r="P19" s="55"/>
      <c r="Q19" s="59" t="s">
        <v>147</v>
      </c>
      <c r="R19" s="50">
        <v>762.77</v>
      </c>
      <c r="S19" s="51">
        <f>IF(OR($H19="",$I19="",$R19=""),"",$R19*Precios!$B$5+$H19*Precios!$B$6+$I19*Precios!$B$7)</f>
        <v>700450.39999999991</v>
      </c>
      <c r="T19" s="52">
        <f>Precios_v2!L30</f>
        <v>737000</v>
      </c>
    </row>
    <row r="20" spans="1:20" ht="15.75" customHeight="1" x14ac:dyDescent="0.25">
      <c r="A20" s="53" t="s">
        <v>148</v>
      </c>
      <c r="B20" s="54" t="s">
        <v>67</v>
      </c>
      <c r="C20" s="55" t="s">
        <v>113</v>
      </c>
      <c r="D20" s="55">
        <v>2</v>
      </c>
      <c r="E20" s="55" t="s">
        <v>70</v>
      </c>
      <c r="F20" s="56">
        <f>IFERROR(VLOOKUP($B20,Tipologias!$A$4:$V$8,5,0),"")</f>
        <v>4</v>
      </c>
      <c r="G20" s="56">
        <f>IFERROR(VLOOKUP($B20,Tipologias!$A$4:$V$8,6,0),"")</f>
        <v>4.5</v>
      </c>
      <c r="H20" s="57">
        <f>IFERROR(VLOOKUP($B20,Tipologias!$A$4:$V$8,9,0),"")</f>
        <v>321.62099999999998</v>
      </c>
      <c r="I20" s="57">
        <f>IFERROR(VLOOKUP($B20,Tipologias!$A$4:$V$8,10,0),"")</f>
        <v>94.981999999999999</v>
      </c>
      <c r="J20" s="57">
        <f>IFERROR(VLOOKUP($B20,Tipologias!$A$4:$V$8,16,0),"")</f>
        <v>445.60299999999995</v>
      </c>
      <c r="K20" s="55" t="s">
        <v>114</v>
      </c>
      <c r="L20" s="55"/>
      <c r="M20" s="58">
        <f>IFERROR(VLOOKUP($B20,Tipologias!$A$4:$V$8,19,0),"")</f>
        <v>0</v>
      </c>
      <c r="N20" s="58">
        <f t="shared" si="0"/>
        <v>0</v>
      </c>
      <c r="O20" s="58"/>
      <c r="P20" s="55"/>
      <c r="Q20" s="59" t="s">
        <v>149</v>
      </c>
      <c r="R20" s="50">
        <v>1006.2</v>
      </c>
      <c r="S20" s="51">
        <f>IF(OR($H20="",$I20="",$R20=""),"",$R20*Precios!$B$5+$H20*Precios!$B$6+$I20*Precios!$B$7)</f>
        <v>707753.29999999993</v>
      </c>
      <c r="T20" s="52">
        <f>Precios_v2!L31</f>
        <v>711000</v>
      </c>
    </row>
    <row r="21" spans="1:20" ht="15.75" customHeight="1" x14ac:dyDescent="0.25">
      <c r="A21" s="53" t="s">
        <v>150</v>
      </c>
      <c r="B21" s="54" t="s">
        <v>67</v>
      </c>
      <c r="C21" s="55" t="s">
        <v>113</v>
      </c>
      <c r="D21" s="55">
        <v>2</v>
      </c>
      <c r="E21" s="55" t="s">
        <v>70</v>
      </c>
      <c r="F21" s="56">
        <f>IFERROR(VLOOKUP($B21,Tipologias!$A$4:$V$8,5,0),"")</f>
        <v>4</v>
      </c>
      <c r="G21" s="56">
        <f>IFERROR(VLOOKUP($B21,Tipologias!$A$4:$V$8,6,0),"")</f>
        <v>4.5</v>
      </c>
      <c r="H21" s="57">
        <f>IFERROR(VLOOKUP($B21,Tipologias!$A$4:$V$8,9,0),"")</f>
        <v>321.62099999999998</v>
      </c>
      <c r="I21" s="57">
        <f>IFERROR(VLOOKUP($B21,Tipologias!$A$4:$V$8,10,0),"")</f>
        <v>94.981999999999999</v>
      </c>
      <c r="J21" s="57">
        <f>IFERROR(VLOOKUP($B21,Tipologias!$A$4:$V$8,16,0),"")</f>
        <v>445.60299999999995</v>
      </c>
      <c r="K21" s="55" t="s">
        <v>114</v>
      </c>
      <c r="L21" s="55"/>
      <c r="M21" s="58">
        <f>IFERROR(VLOOKUP($B21,Tipologias!$A$4:$V$8,19,0),"")</f>
        <v>0</v>
      </c>
      <c r="N21" s="58">
        <f t="shared" si="0"/>
        <v>0</v>
      </c>
      <c r="O21" s="58"/>
      <c r="P21" s="55"/>
      <c r="Q21" s="59" t="s">
        <v>151</v>
      </c>
      <c r="R21" s="50">
        <v>1225.01</v>
      </c>
      <c r="S21" s="51">
        <f>IF(OR($H21="",$I21="",$R21=""),"",$R21*Precios!$B$5+$H21*Precios!$B$6+$I21*Precios!$B$7)</f>
        <v>714317.6</v>
      </c>
      <c r="T21" s="52">
        <f>Precios_v2!L32</f>
        <v>714000</v>
      </c>
    </row>
    <row r="22" spans="1:20" ht="15.75" customHeight="1" x14ac:dyDescent="0.25">
      <c r="A22" s="53" t="s">
        <v>152</v>
      </c>
      <c r="B22" s="54" t="s">
        <v>67</v>
      </c>
      <c r="C22" s="55" t="s">
        <v>113</v>
      </c>
      <c r="D22" s="55">
        <v>2</v>
      </c>
      <c r="E22" s="55" t="s">
        <v>70</v>
      </c>
      <c r="F22" s="56">
        <f>IFERROR(VLOOKUP($B22,Tipologias!$A$4:$V$8,5,0),"")</f>
        <v>4</v>
      </c>
      <c r="G22" s="56">
        <f>IFERROR(VLOOKUP($B22,Tipologias!$A$4:$V$8,6,0),"")</f>
        <v>4.5</v>
      </c>
      <c r="H22" s="57">
        <f>IFERROR(VLOOKUP($B22,Tipologias!$A$4:$V$8,9,0),"")</f>
        <v>321.62099999999998</v>
      </c>
      <c r="I22" s="57">
        <f>IFERROR(VLOOKUP($B22,Tipologias!$A$4:$V$8,10,0),"")</f>
        <v>94.981999999999999</v>
      </c>
      <c r="J22" s="57">
        <f>IFERROR(VLOOKUP($B22,Tipologias!$A$4:$V$8,16,0),"")</f>
        <v>445.60299999999995</v>
      </c>
      <c r="K22" s="55" t="s">
        <v>114</v>
      </c>
      <c r="L22" s="55"/>
      <c r="M22" s="58">
        <f>IFERROR(VLOOKUP($B22,Tipologias!$A$4:$V$8,19,0),"")</f>
        <v>0</v>
      </c>
      <c r="N22" s="58">
        <f t="shared" si="0"/>
        <v>0</v>
      </c>
      <c r="O22" s="58"/>
      <c r="P22" s="55"/>
      <c r="Q22" s="59" t="s">
        <v>153</v>
      </c>
      <c r="R22" s="50">
        <v>1068.3499999999999</v>
      </c>
      <c r="S22" s="51">
        <f>IF(OR($H22="",$I22="",$R22=""),"",$R22*Precios!$B$5+$H22*Precios!$B$6+$I22*Precios!$B$7)</f>
        <v>709617.79999999993</v>
      </c>
      <c r="T22" s="52">
        <f>Precios_v2!L33</f>
        <v>684000</v>
      </c>
    </row>
    <row r="23" spans="1:20" ht="15.75" customHeight="1" x14ac:dyDescent="0.25">
      <c r="A23" s="53" t="s">
        <v>154</v>
      </c>
      <c r="B23" s="54" t="s">
        <v>67</v>
      </c>
      <c r="C23" s="55" t="s">
        <v>113</v>
      </c>
      <c r="D23" s="55">
        <v>2</v>
      </c>
      <c r="E23" s="55" t="s">
        <v>70</v>
      </c>
      <c r="F23" s="56">
        <f>IFERROR(VLOOKUP($B23,Tipologias!$A$4:$V$8,5,0),"")</f>
        <v>4</v>
      </c>
      <c r="G23" s="56">
        <f>IFERROR(VLOOKUP($B23,Tipologias!$A$4:$V$8,6,0),"")</f>
        <v>4.5</v>
      </c>
      <c r="H23" s="57">
        <f>IFERROR(VLOOKUP($B23,Tipologias!$A$4:$V$8,9,0),"")</f>
        <v>321.62099999999998</v>
      </c>
      <c r="I23" s="57">
        <f>IFERROR(VLOOKUP($B23,Tipologias!$A$4:$V$8,10,0),"")</f>
        <v>94.981999999999999</v>
      </c>
      <c r="J23" s="57">
        <f>IFERROR(VLOOKUP($B23,Tipologias!$A$4:$V$8,16,0),"")</f>
        <v>445.60299999999995</v>
      </c>
      <c r="K23" s="55" t="s">
        <v>114</v>
      </c>
      <c r="L23" s="55"/>
      <c r="M23" s="58">
        <f>IFERROR(VLOOKUP($B23,Tipologias!$A$4:$V$8,19,0),"")</f>
        <v>0</v>
      </c>
      <c r="N23" s="58">
        <f t="shared" si="0"/>
        <v>0</v>
      </c>
      <c r="O23" s="58"/>
      <c r="P23" s="55"/>
      <c r="Q23" s="59" t="s">
        <v>155</v>
      </c>
      <c r="R23" s="50">
        <v>771.66</v>
      </c>
      <c r="S23" s="51">
        <f>IF(OR($H23="",$I23="",$R23=""),"",$R23*Precios!$B$5+$H23*Precios!$B$6+$I23*Precios!$B$7)</f>
        <v>700717.1</v>
      </c>
      <c r="T23" s="52">
        <f>Precios_v2!L34</f>
        <v>751000</v>
      </c>
    </row>
    <row r="24" spans="1:20" ht="15.75" customHeight="1" x14ac:dyDescent="0.25">
      <c r="A24" s="53" t="s">
        <v>156</v>
      </c>
      <c r="B24" s="54" t="s">
        <v>67</v>
      </c>
      <c r="C24" s="55" t="s">
        <v>113</v>
      </c>
      <c r="D24" s="55">
        <v>2</v>
      </c>
      <c r="E24" s="55" t="s">
        <v>70</v>
      </c>
      <c r="F24" s="56">
        <f>IFERROR(VLOOKUP($B24,Tipologias!$A$4:$V$8,5,0),"")</f>
        <v>4</v>
      </c>
      <c r="G24" s="56">
        <f>IFERROR(VLOOKUP($B24,Tipologias!$A$4:$V$8,6,0),"")</f>
        <v>4.5</v>
      </c>
      <c r="H24" s="57">
        <f>IFERROR(VLOOKUP($B24,Tipologias!$A$4:$V$8,9,0),"")</f>
        <v>321.62099999999998</v>
      </c>
      <c r="I24" s="57">
        <f>IFERROR(VLOOKUP($B24,Tipologias!$A$4:$V$8,10,0),"")</f>
        <v>94.981999999999999</v>
      </c>
      <c r="J24" s="57">
        <f>IFERROR(VLOOKUP($B24,Tipologias!$A$4:$V$8,16,0),"")</f>
        <v>445.60299999999995</v>
      </c>
      <c r="K24" s="55" t="s">
        <v>114</v>
      </c>
      <c r="L24" s="55"/>
      <c r="M24" s="58">
        <f>IFERROR(VLOOKUP($B24,Tipologias!$A$4:$V$8,19,0),"")</f>
        <v>0</v>
      </c>
      <c r="N24" s="58">
        <f t="shared" si="0"/>
        <v>0</v>
      </c>
      <c r="O24" s="58"/>
      <c r="P24" s="55"/>
      <c r="Q24" s="59" t="s">
        <v>157</v>
      </c>
      <c r="R24" s="50">
        <v>880.1</v>
      </c>
      <c r="S24" s="51">
        <f>IF(OR($H24="",$I24="",$R24=""),"",$R24*Precios!$B$5+$H24*Precios!$B$6+$I24*Precios!$B$7)</f>
        <v>703970.29999999993</v>
      </c>
      <c r="T24" s="52">
        <f>Precios_v2!L35</f>
        <v>682000</v>
      </c>
    </row>
    <row r="25" spans="1:20" ht="15.75" customHeight="1" x14ac:dyDescent="0.25">
      <c r="A25" s="53" t="s">
        <v>158</v>
      </c>
      <c r="B25" s="54" t="s">
        <v>67</v>
      </c>
      <c r="C25" s="55" t="s">
        <v>113</v>
      </c>
      <c r="D25" s="55">
        <v>2</v>
      </c>
      <c r="E25" s="55" t="s">
        <v>70</v>
      </c>
      <c r="F25" s="56">
        <f>IFERROR(VLOOKUP($B25,Tipologias!$A$4:$V$8,5,0),"")</f>
        <v>4</v>
      </c>
      <c r="G25" s="56">
        <f>IFERROR(VLOOKUP($B25,Tipologias!$A$4:$V$8,6,0),"")</f>
        <v>4.5</v>
      </c>
      <c r="H25" s="57">
        <f>IFERROR(VLOOKUP($B25,Tipologias!$A$4:$V$8,9,0),"")</f>
        <v>321.62099999999998</v>
      </c>
      <c r="I25" s="57">
        <f>IFERROR(VLOOKUP($B25,Tipologias!$A$4:$V$8,10,0),"")</f>
        <v>94.981999999999999</v>
      </c>
      <c r="J25" s="57">
        <f>IFERROR(VLOOKUP($B25,Tipologias!$A$4:$V$8,16,0),"")</f>
        <v>445.60299999999995</v>
      </c>
      <c r="K25" s="55" t="s">
        <v>114</v>
      </c>
      <c r="L25" s="55"/>
      <c r="M25" s="58">
        <f>IFERROR(VLOOKUP($B25,Tipologias!$A$4:$V$8,19,0),"")</f>
        <v>0</v>
      </c>
      <c r="N25" s="58">
        <f t="shared" si="0"/>
        <v>0</v>
      </c>
      <c r="O25" s="58"/>
      <c r="P25" s="55"/>
      <c r="Q25" s="59" t="s">
        <v>159</v>
      </c>
      <c r="R25" s="50">
        <v>799.87</v>
      </c>
      <c r="S25" s="51">
        <f>IF(OR($H25="",$I25="",$R25=""),"",$R25*Precios!$B$5+$H25*Precios!$B$6+$I25*Precios!$B$7)</f>
        <v>701563.39999999991</v>
      </c>
      <c r="T25" s="52">
        <f>Precios_v2!L36</f>
        <v>723000</v>
      </c>
    </row>
    <row r="26" spans="1:20" ht="15.75" customHeight="1" x14ac:dyDescent="0.25">
      <c r="A26" s="53" t="s">
        <v>160</v>
      </c>
      <c r="B26" s="54" t="s">
        <v>67</v>
      </c>
      <c r="C26" s="55" t="s">
        <v>113</v>
      </c>
      <c r="D26" s="55">
        <v>2</v>
      </c>
      <c r="E26" s="55" t="s">
        <v>70</v>
      </c>
      <c r="F26" s="56">
        <f>IFERROR(VLOOKUP($B26,Tipologias!$A$4:$V$8,5,0),"")</f>
        <v>4</v>
      </c>
      <c r="G26" s="56">
        <f>IFERROR(VLOOKUP($B26,Tipologias!$A$4:$V$8,6,0),"")</f>
        <v>4.5</v>
      </c>
      <c r="H26" s="57">
        <f>IFERROR(VLOOKUP($B26,Tipologias!$A$4:$V$8,9,0),"")</f>
        <v>321.62099999999998</v>
      </c>
      <c r="I26" s="57">
        <f>IFERROR(VLOOKUP($B26,Tipologias!$A$4:$V$8,10,0),"")</f>
        <v>94.981999999999999</v>
      </c>
      <c r="J26" s="57">
        <f>IFERROR(VLOOKUP($B26,Tipologias!$A$4:$V$8,16,0),"")</f>
        <v>445.60299999999995</v>
      </c>
      <c r="K26" s="55" t="s">
        <v>114</v>
      </c>
      <c r="L26" s="55"/>
      <c r="M26" s="58">
        <f>IFERROR(VLOOKUP($B26,Tipologias!$A$4:$V$8,19,0),"")</f>
        <v>0</v>
      </c>
      <c r="N26" s="58">
        <f t="shared" si="0"/>
        <v>0</v>
      </c>
      <c r="O26" s="58"/>
      <c r="P26" s="55"/>
      <c r="Q26" s="59" t="s">
        <v>161</v>
      </c>
      <c r="R26" s="50">
        <v>768.76</v>
      </c>
      <c r="S26" s="51">
        <f>IF(OR($H26="",$I26="",$R26=""),"",$R26*Precios!$B$5+$H26*Precios!$B$6+$I26*Precios!$B$7)</f>
        <v>700630.1</v>
      </c>
      <c r="T26" s="52">
        <f>Precios_v2!L37</f>
        <v>730000</v>
      </c>
    </row>
    <row r="27" spans="1:20" ht="15.75" customHeight="1" x14ac:dyDescent="0.25">
      <c r="A27" s="53" t="s">
        <v>162</v>
      </c>
      <c r="B27" s="54" t="s">
        <v>67</v>
      </c>
      <c r="C27" s="55" t="s">
        <v>113</v>
      </c>
      <c r="D27" s="55">
        <v>2</v>
      </c>
      <c r="E27" s="55" t="s">
        <v>70</v>
      </c>
      <c r="F27" s="56">
        <f>IFERROR(VLOOKUP($B27,Tipologias!$A$4:$V$8,5,0),"")</f>
        <v>4</v>
      </c>
      <c r="G27" s="56">
        <f>IFERROR(VLOOKUP($B27,Tipologias!$A$4:$V$8,6,0),"")</f>
        <v>4.5</v>
      </c>
      <c r="H27" s="57">
        <f>IFERROR(VLOOKUP($B27,Tipologias!$A$4:$V$8,9,0),"")</f>
        <v>321.62099999999998</v>
      </c>
      <c r="I27" s="57">
        <f>IFERROR(VLOOKUP($B27,Tipologias!$A$4:$V$8,10,0),"")</f>
        <v>94.981999999999999</v>
      </c>
      <c r="J27" s="57">
        <f>IFERROR(VLOOKUP($B27,Tipologias!$A$4:$V$8,16,0),"")</f>
        <v>445.60299999999995</v>
      </c>
      <c r="K27" s="55" t="s">
        <v>114</v>
      </c>
      <c r="L27" s="55"/>
      <c r="M27" s="58">
        <f>IFERROR(VLOOKUP($B27,Tipologias!$A$4:$V$8,19,0),"")</f>
        <v>0</v>
      </c>
      <c r="N27" s="58">
        <f t="shared" si="0"/>
        <v>0</v>
      </c>
      <c r="O27" s="58"/>
      <c r="P27" s="55"/>
      <c r="Q27" s="59" t="s">
        <v>163</v>
      </c>
      <c r="R27" s="50">
        <v>767.97</v>
      </c>
      <c r="S27" s="51">
        <f>IF(OR($H27="",$I27="",$R27=""),"",$R27*Precios!$B$5+$H27*Precios!$B$6+$I27*Precios!$B$7)</f>
        <v>700606.39999999991</v>
      </c>
      <c r="T27" s="52">
        <f>Precios_v2!L38</f>
        <v>758000</v>
      </c>
    </row>
    <row r="28" spans="1:20" ht="15.75" customHeight="1" x14ac:dyDescent="0.25">
      <c r="A28" s="53" t="s">
        <v>164</v>
      </c>
      <c r="B28" s="54" t="s">
        <v>67</v>
      </c>
      <c r="C28" s="55" t="s">
        <v>113</v>
      </c>
      <c r="D28" s="55">
        <v>2</v>
      </c>
      <c r="E28" s="55" t="s">
        <v>70</v>
      </c>
      <c r="F28" s="56">
        <f>IFERROR(VLOOKUP($B28,Tipologias!$A$4:$V$8,5,0),"")</f>
        <v>4</v>
      </c>
      <c r="G28" s="56">
        <f>IFERROR(VLOOKUP($B28,Tipologias!$A$4:$V$8,6,0),"")</f>
        <v>4.5</v>
      </c>
      <c r="H28" s="57">
        <f>IFERROR(VLOOKUP($B28,Tipologias!$A$4:$V$8,9,0),"")</f>
        <v>321.62099999999998</v>
      </c>
      <c r="I28" s="57">
        <f>IFERROR(VLOOKUP($B28,Tipologias!$A$4:$V$8,10,0),"")</f>
        <v>94.981999999999999</v>
      </c>
      <c r="J28" s="57">
        <f>IFERROR(VLOOKUP($B28,Tipologias!$A$4:$V$8,16,0),"")</f>
        <v>445.60299999999995</v>
      </c>
      <c r="K28" s="55" t="s">
        <v>114</v>
      </c>
      <c r="L28" s="55"/>
      <c r="M28" s="58">
        <f>IFERROR(VLOOKUP($B28,Tipologias!$A$4:$V$8,19,0),"")</f>
        <v>0</v>
      </c>
      <c r="N28" s="58">
        <f t="shared" si="0"/>
        <v>0</v>
      </c>
      <c r="O28" s="58"/>
      <c r="P28" s="55"/>
      <c r="Q28" s="59" t="s">
        <v>163</v>
      </c>
      <c r="R28" s="50">
        <v>767.97</v>
      </c>
      <c r="S28" s="51">
        <f>IF(OR($H28="",$I28="",$R28=""),"",$R28*Precios!$B$5+$H28*Precios!$B$6+$I28*Precios!$B$7)</f>
        <v>700606.39999999991</v>
      </c>
      <c r="T28" s="52">
        <f>Precios_v2!L39</f>
        <v>709000</v>
      </c>
    </row>
    <row r="29" spans="1:20" ht="15.75" customHeight="1" x14ac:dyDescent="0.25">
      <c r="A29" s="53" t="s">
        <v>165</v>
      </c>
      <c r="B29" s="54" t="s">
        <v>67</v>
      </c>
      <c r="C29" s="55" t="s">
        <v>113</v>
      </c>
      <c r="D29" s="55">
        <v>2</v>
      </c>
      <c r="E29" s="55" t="s">
        <v>70</v>
      </c>
      <c r="F29" s="56">
        <f>IFERROR(VLOOKUP($B29,Tipologias!$A$4:$V$8,5,0),"")</f>
        <v>4</v>
      </c>
      <c r="G29" s="56">
        <f>IFERROR(VLOOKUP($B29,Tipologias!$A$4:$V$8,6,0),"")</f>
        <v>4.5</v>
      </c>
      <c r="H29" s="57">
        <f>IFERROR(VLOOKUP($B29,Tipologias!$A$4:$V$8,9,0),"")</f>
        <v>321.62099999999998</v>
      </c>
      <c r="I29" s="57">
        <f>IFERROR(VLOOKUP($B29,Tipologias!$A$4:$V$8,10,0),"")</f>
        <v>94.981999999999999</v>
      </c>
      <c r="J29" s="57">
        <f>IFERROR(VLOOKUP($B29,Tipologias!$A$4:$V$8,16,0),"")</f>
        <v>445.60299999999995</v>
      </c>
      <c r="K29" s="55" t="s">
        <v>114</v>
      </c>
      <c r="L29" s="55"/>
      <c r="M29" s="58">
        <f>IFERROR(VLOOKUP($B29,Tipologias!$A$4:$V$8,19,0),"")</f>
        <v>0</v>
      </c>
      <c r="N29" s="58">
        <f t="shared" si="0"/>
        <v>0</v>
      </c>
      <c r="O29" s="58"/>
      <c r="P29" s="55"/>
      <c r="Q29" s="59" t="s">
        <v>163</v>
      </c>
      <c r="R29" s="50">
        <v>767.97</v>
      </c>
      <c r="S29" s="51">
        <f>IF(OR($H29="",$I29="",$R29=""),"",$R29*Precios!$B$5+$H29*Precios!$B$6+$I29*Precios!$B$7)</f>
        <v>700606.39999999991</v>
      </c>
      <c r="T29" s="52">
        <f>Precios_v2!L40</f>
        <v>702000</v>
      </c>
    </row>
    <row r="30" spans="1:20" ht="15.75" customHeight="1" x14ac:dyDescent="0.25">
      <c r="A30" s="53" t="s">
        <v>166</v>
      </c>
      <c r="B30" s="54" t="s">
        <v>67</v>
      </c>
      <c r="C30" s="55" t="s">
        <v>113</v>
      </c>
      <c r="D30" s="55">
        <v>2</v>
      </c>
      <c r="E30" s="55" t="s">
        <v>70</v>
      </c>
      <c r="F30" s="56">
        <f>IFERROR(VLOOKUP($B30,Tipologias!$A$4:$V$8,5,0),"")</f>
        <v>4</v>
      </c>
      <c r="G30" s="56">
        <f>IFERROR(VLOOKUP($B30,Tipologias!$A$4:$V$8,6,0),"")</f>
        <v>4.5</v>
      </c>
      <c r="H30" s="57">
        <f>IFERROR(VLOOKUP($B30,Tipologias!$A$4:$V$8,9,0),"")</f>
        <v>321.62099999999998</v>
      </c>
      <c r="I30" s="57">
        <f>IFERROR(VLOOKUP($B30,Tipologias!$A$4:$V$8,10,0),"")</f>
        <v>94.981999999999999</v>
      </c>
      <c r="J30" s="57">
        <f>IFERROR(VLOOKUP($B30,Tipologias!$A$4:$V$8,16,0),"")</f>
        <v>445.60299999999995</v>
      </c>
      <c r="K30" s="55" t="s">
        <v>114</v>
      </c>
      <c r="L30" s="55"/>
      <c r="M30" s="58">
        <f>IFERROR(VLOOKUP($B30,Tipologias!$A$4:$V$8,19,0),"")</f>
        <v>0</v>
      </c>
      <c r="N30" s="58">
        <f t="shared" si="0"/>
        <v>0</v>
      </c>
      <c r="O30" s="58"/>
      <c r="P30" s="55"/>
      <c r="Q30" s="59" t="s">
        <v>167</v>
      </c>
      <c r="R30" s="50">
        <v>806.91</v>
      </c>
      <c r="S30" s="51">
        <f>IF(OR($H30="",$I30="",$R30=""),"",$R30*Precios!$B$5+$H30*Precios!$B$6+$I30*Precios!$B$7)</f>
        <v>701774.6</v>
      </c>
      <c r="T30" s="52">
        <f>Precios_v2!L41</f>
        <v>737000</v>
      </c>
    </row>
    <row r="31" spans="1:20" ht="15.75" customHeight="1" x14ac:dyDescent="0.25">
      <c r="A31" s="53" t="s">
        <v>168</v>
      </c>
      <c r="B31" s="54" t="s">
        <v>67</v>
      </c>
      <c r="C31" s="55" t="s">
        <v>113</v>
      </c>
      <c r="D31" s="55">
        <v>2</v>
      </c>
      <c r="E31" s="55" t="s">
        <v>70</v>
      </c>
      <c r="F31" s="56">
        <f>IFERROR(VLOOKUP($B31,Tipologias!$A$4:$V$8,5,0),"")</f>
        <v>4</v>
      </c>
      <c r="G31" s="56">
        <f>IFERROR(VLOOKUP($B31,Tipologias!$A$4:$V$8,6,0),"")</f>
        <v>4.5</v>
      </c>
      <c r="H31" s="57">
        <f>IFERROR(VLOOKUP($B31,Tipologias!$A$4:$V$8,9,0),"")</f>
        <v>321.62099999999998</v>
      </c>
      <c r="I31" s="57">
        <f>IFERROR(VLOOKUP($B31,Tipologias!$A$4:$V$8,10,0),"")</f>
        <v>94.981999999999999</v>
      </c>
      <c r="J31" s="57">
        <f>IFERROR(VLOOKUP($B31,Tipologias!$A$4:$V$8,16,0),"")</f>
        <v>445.60299999999995</v>
      </c>
      <c r="K31" s="55" t="s">
        <v>114</v>
      </c>
      <c r="L31" s="55"/>
      <c r="M31" s="58">
        <f>IFERROR(VLOOKUP($B31,Tipologias!$A$4:$V$8,19,0),"")</f>
        <v>0</v>
      </c>
      <c r="N31" s="58">
        <f t="shared" si="0"/>
        <v>0</v>
      </c>
      <c r="O31" s="58"/>
      <c r="P31" s="55"/>
      <c r="Q31" s="59" t="s">
        <v>169</v>
      </c>
      <c r="R31" s="50">
        <v>813.54</v>
      </c>
      <c r="S31" s="51">
        <f>IF(OR($H31="",$I31="",$R31=""),"",$R31*Precios!$B$5+$H31*Precios!$B$6+$I31*Precios!$B$7)</f>
        <v>701973.49999999988</v>
      </c>
      <c r="T31" s="52">
        <f>Precios_v2!L42</f>
        <v>723000</v>
      </c>
    </row>
    <row r="32" spans="1:20" ht="15.75" customHeight="1" x14ac:dyDescent="0.25">
      <c r="A32" s="53" t="s">
        <v>170</v>
      </c>
      <c r="B32" s="54" t="s">
        <v>67</v>
      </c>
      <c r="C32" s="55" t="s">
        <v>113</v>
      </c>
      <c r="D32" s="55">
        <v>2</v>
      </c>
      <c r="E32" s="55" t="s">
        <v>70</v>
      </c>
      <c r="F32" s="56">
        <f>IFERROR(VLOOKUP($B32,Tipologias!$A$4:$V$8,5,0),"")</f>
        <v>4</v>
      </c>
      <c r="G32" s="56">
        <f>IFERROR(VLOOKUP($B32,Tipologias!$A$4:$V$8,6,0),"")</f>
        <v>4.5</v>
      </c>
      <c r="H32" s="57">
        <f>IFERROR(VLOOKUP($B32,Tipologias!$A$4:$V$8,9,0),"")</f>
        <v>321.62099999999998</v>
      </c>
      <c r="I32" s="57">
        <f>IFERROR(VLOOKUP($B32,Tipologias!$A$4:$V$8,10,0),"")</f>
        <v>94.981999999999999</v>
      </c>
      <c r="J32" s="57">
        <f>IFERROR(VLOOKUP($B32,Tipologias!$A$4:$V$8,16,0),"")</f>
        <v>445.60299999999995</v>
      </c>
      <c r="K32" s="55" t="s">
        <v>114</v>
      </c>
      <c r="L32" s="55"/>
      <c r="M32" s="58">
        <f>IFERROR(VLOOKUP($B32,Tipologias!$A$4:$V$8,19,0),"")</f>
        <v>0</v>
      </c>
      <c r="N32" s="58">
        <f t="shared" si="0"/>
        <v>0</v>
      </c>
      <c r="O32" s="58"/>
      <c r="P32" s="55"/>
      <c r="Q32" s="59" t="s">
        <v>171</v>
      </c>
      <c r="R32" s="50">
        <v>769.34</v>
      </c>
      <c r="S32" s="51">
        <f>IF(OR($H32="",$I32="",$R32=""),"",$R32*Precios!$B$5+$H32*Precios!$B$6+$I32*Precios!$B$7)</f>
        <v>700647.49999999988</v>
      </c>
      <c r="T32" s="52">
        <f>Precios_v2!L43</f>
        <v>688000</v>
      </c>
    </row>
    <row r="33" spans="1:20" ht="15.75" customHeight="1" x14ac:dyDescent="0.25">
      <c r="A33" s="53" t="s">
        <v>172</v>
      </c>
      <c r="B33" s="54" t="s">
        <v>67</v>
      </c>
      <c r="C33" s="55" t="s">
        <v>113</v>
      </c>
      <c r="D33" s="55">
        <v>2</v>
      </c>
      <c r="E33" s="55" t="s">
        <v>70</v>
      </c>
      <c r="F33" s="56">
        <f>IFERROR(VLOOKUP($B33,Tipologias!$A$4:$V$8,5,0),"")</f>
        <v>4</v>
      </c>
      <c r="G33" s="56">
        <f>IFERROR(VLOOKUP($B33,Tipologias!$A$4:$V$8,6,0),"")</f>
        <v>4.5</v>
      </c>
      <c r="H33" s="57">
        <f>IFERROR(VLOOKUP($B33,Tipologias!$A$4:$V$8,9,0),"")</f>
        <v>321.62099999999998</v>
      </c>
      <c r="I33" s="57">
        <f>IFERROR(VLOOKUP($B33,Tipologias!$A$4:$V$8,10,0),"")</f>
        <v>94.981999999999999</v>
      </c>
      <c r="J33" s="57">
        <f>IFERROR(VLOOKUP($B33,Tipologias!$A$4:$V$8,16,0),"")</f>
        <v>445.60299999999995</v>
      </c>
      <c r="K33" s="55" t="s">
        <v>114</v>
      </c>
      <c r="L33" s="55"/>
      <c r="M33" s="58">
        <f>IFERROR(VLOOKUP($B33,Tipologias!$A$4:$V$8,19,0),"")</f>
        <v>0</v>
      </c>
      <c r="N33" s="58">
        <f t="shared" si="0"/>
        <v>0</v>
      </c>
      <c r="O33" s="58"/>
      <c r="P33" s="55"/>
      <c r="Q33" s="59" t="s">
        <v>173</v>
      </c>
      <c r="R33" s="50">
        <v>733.29</v>
      </c>
      <c r="S33" s="51">
        <f>IF(OR($H33="",$I33="",$R33=""),"",$R33*Precios!$B$5+$H33*Precios!$B$6+$I33*Precios!$B$7)</f>
        <v>699565.99999999988</v>
      </c>
      <c r="T33" s="52">
        <f>Precios_v2!L44</f>
        <v>779000</v>
      </c>
    </row>
    <row r="34" spans="1:20" ht="15.75" customHeight="1" x14ac:dyDescent="0.25">
      <c r="A34" s="53" t="s">
        <v>174</v>
      </c>
      <c r="B34" s="54" t="s">
        <v>67</v>
      </c>
      <c r="C34" s="55" t="s">
        <v>113</v>
      </c>
      <c r="D34" s="55">
        <v>2</v>
      </c>
      <c r="E34" s="55" t="s">
        <v>70</v>
      </c>
      <c r="F34" s="56">
        <f>IFERROR(VLOOKUP($B34,Tipologias!$A$4:$V$8,5,0),"")</f>
        <v>4</v>
      </c>
      <c r="G34" s="56">
        <f>IFERROR(VLOOKUP($B34,Tipologias!$A$4:$V$8,6,0),"")</f>
        <v>4.5</v>
      </c>
      <c r="H34" s="57">
        <f>IFERROR(VLOOKUP($B34,Tipologias!$A$4:$V$8,9,0),"")</f>
        <v>321.62099999999998</v>
      </c>
      <c r="I34" s="57">
        <f>IFERROR(VLOOKUP($B34,Tipologias!$A$4:$V$8,10,0),"")</f>
        <v>94.981999999999999</v>
      </c>
      <c r="J34" s="57">
        <f>IFERROR(VLOOKUP($B34,Tipologias!$A$4:$V$8,16,0),"")</f>
        <v>445.60299999999995</v>
      </c>
      <c r="K34" s="55" t="s">
        <v>114</v>
      </c>
      <c r="L34" s="55"/>
      <c r="M34" s="58">
        <f>IFERROR(VLOOKUP($B34,Tipologias!$A$4:$V$8,19,0),"")</f>
        <v>0</v>
      </c>
      <c r="N34" s="58">
        <f t="shared" si="0"/>
        <v>0</v>
      </c>
      <c r="O34" s="58"/>
      <c r="P34" s="55"/>
      <c r="Q34" s="59" t="s">
        <v>175</v>
      </c>
      <c r="R34" s="50">
        <v>1014.84</v>
      </c>
      <c r="S34" s="51">
        <f>IF(OR($H34="",$I34="",$R34=""),"",$R34*Precios!$B$5+$H34*Precios!$B$6+$I34*Precios!$B$7)</f>
        <v>708012.49999999988</v>
      </c>
      <c r="T34" s="52">
        <f>Precios_v2!L45</f>
        <v>733000</v>
      </c>
    </row>
    <row r="35" spans="1:20" ht="15.75" customHeight="1" x14ac:dyDescent="0.25">
      <c r="A35" s="53" t="s">
        <v>176</v>
      </c>
      <c r="B35" s="54" t="s">
        <v>74</v>
      </c>
      <c r="C35" s="55" t="s">
        <v>113</v>
      </c>
      <c r="D35" s="55">
        <v>2</v>
      </c>
      <c r="E35" s="55" t="s">
        <v>70</v>
      </c>
      <c r="F35" s="56">
        <f>IFERROR(VLOOKUP($B35,Tipologias!$A$4:$V$8,5,0),"")</f>
        <v>3</v>
      </c>
      <c r="G35" s="56">
        <f>IFERROR(VLOOKUP($B35,Tipologias!$A$4:$V$8,6,0),"")</f>
        <v>3.5</v>
      </c>
      <c r="H35" s="57">
        <f>IFERROR(VLOOKUP($B35,Tipologias!$A$4:$V$8,9,0),"")</f>
        <v>179.17400000000001</v>
      </c>
      <c r="I35" s="57">
        <f>IFERROR(VLOOKUP($B35,Tipologias!$A$4:$V$8,10,0),"")</f>
        <v>89</v>
      </c>
      <c r="J35" s="57">
        <f>IFERROR(VLOOKUP($B35,Tipologias!$A$4:$V$8,16,0),"")</f>
        <v>301.17399999999998</v>
      </c>
      <c r="K35" s="55" t="s">
        <v>114</v>
      </c>
      <c r="L35" s="55"/>
      <c r="M35" s="58">
        <f>IFERROR(VLOOKUP($B35,Tipologias!$A$4:$V$8,19,0),"")</f>
        <v>0</v>
      </c>
      <c r="N35" s="58">
        <f t="shared" si="0"/>
        <v>0</v>
      </c>
      <c r="O35" s="58"/>
      <c r="P35" s="55"/>
      <c r="Q35" s="59" t="s">
        <v>177</v>
      </c>
      <c r="R35" s="50">
        <v>928.76</v>
      </c>
      <c r="S35" s="51">
        <f>IF(OR($H35="",$I35="",$R35=""),"",$R35*Precios!$B$5+$H35*Precios!$B$6+$I35*Precios!$B$7)</f>
        <v>430593.4</v>
      </c>
      <c r="T35" s="52">
        <f>Precios_v2!L46</f>
        <v>446000</v>
      </c>
    </row>
    <row r="36" spans="1:20" ht="15.75" customHeight="1" x14ac:dyDescent="0.25">
      <c r="A36" s="53" t="s">
        <v>178</v>
      </c>
      <c r="B36" s="54" t="s">
        <v>74</v>
      </c>
      <c r="C36" s="55" t="s">
        <v>113</v>
      </c>
      <c r="D36" s="55">
        <v>2</v>
      </c>
      <c r="E36" s="55" t="s">
        <v>70</v>
      </c>
      <c r="F36" s="56">
        <f>IFERROR(VLOOKUP($B36,Tipologias!$A$4:$V$8,5,0),"")</f>
        <v>3</v>
      </c>
      <c r="G36" s="56">
        <f>IFERROR(VLOOKUP($B36,Tipologias!$A$4:$V$8,6,0),"")</f>
        <v>3.5</v>
      </c>
      <c r="H36" s="57">
        <f>IFERROR(VLOOKUP($B36,Tipologias!$A$4:$V$8,9,0),"")</f>
        <v>179.17400000000001</v>
      </c>
      <c r="I36" s="57">
        <f>IFERROR(VLOOKUP($B36,Tipologias!$A$4:$V$8,10,0),"")</f>
        <v>89</v>
      </c>
      <c r="J36" s="57">
        <f>IFERROR(VLOOKUP($B36,Tipologias!$A$4:$V$8,16,0),"")</f>
        <v>301.17399999999998</v>
      </c>
      <c r="K36" s="55" t="s">
        <v>114</v>
      </c>
      <c r="L36" s="55"/>
      <c r="M36" s="58">
        <f>IFERROR(VLOOKUP($B36,Tipologias!$A$4:$V$8,19,0),"")</f>
        <v>0</v>
      </c>
      <c r="N36" s="58">
        <f t="shared" si="0"/>
        <v>0</v>
      </c>
      <c r="O36" s="58"/>
      <c r="P36" s="55"/>
      <c r="Q36" s="59" t="s">
        <v>179</v>
      </c>
      <c r="R36" s="50">
        <v>822.83</v>
      </c>
      <c r="S36" s="51">
        <f>IF(OR($H36="",$I36="",$R36=""),"",$R36*Precios!$B$5+$H36*Precios!$B$6+$I36*Precios!$B$7)</f>
        <v>427415.50000000006</v>
      </c>
      <c r="T36" s="52">
        <f>Precios_v2!L47</f>
        <v>440000</v>
      </c>
    </row>
    <row r="37" spans="1:20" ht="15.75" customHeight="1" x14ac:dyDescent="0.25">
      <c r="A37" s="53" t="s">
        <v>180</v>
      </c>
      <c r="B37" s="54" t="s">
        <v>74</v>
      </c>
      <c r="C37" s="55" t="s">
        <v>113</v>
      </c>
      <c r="D37" s="55">
        <v>2</v>
      </c>
      <c r="E37" s="55" t="s">
        <v>70</v>
      </c>
      <c r="F37" s="56">
        <f>IFERROR(VLOOKUP($B37,Tipologias!$A$4:$V$8,5,0),"")</f>
        <v>3</v>
      </c>
      <c r="G37" s="56">
        <f>IFERROR(VLOOKUP($B37,Tipologias!$A$4:$V$8,6,0),"")</f>
        <v>3.5</v>
      </c>
      <c r="H37" s="57">
        <f>IFERROR(VLOOKUP($B37,Tipologias!$A$4:$V$8,9,0),"")</f>
        <v>179.17400000000001</v>
      </c>
      <c r="I37" s="57">
        <f>IFERROR(VLOOKUP($B37,Tipologias!$A$4:$V$8,10,0),"")</f>
        <v>89</v>
      </c>
      <c r="J37" s="57">
        <f>IFERROR(VLOOKUP($B37,Tipologias!$A$4:$V$8,16,0),"")</f>
        <v>301.17399999999998</v>
      </c>
      <c r="K37" s="55" t="s">
        <v>114</v>
      </c>
      <c r="L37" s="55"/>
      <c r="M37" s="58">
        <f>IFERROR(VLOOKUP($B37,Tipologias!$A$4:$V$8,19,0),"")</f>
        <v>0</v>
      </c>
      <c r="N37" s="58">
        <f t="shared" si="0"/>
        <v>0</v>
      </c>
      <c r="O37" s="58"/>
      <c r="P37" s="55"/>
      <c r="Q37" s="59" t="s">
        <v>181</v>
      </c>
      <c r="R37" s="50">
        <v>795.65</v>
      </c>
      <c r="S37" s="51">
        <f>IF(OR($H37="",$I37="",$R37=""),"",$R37*Precios!$B$5+$H37*Precios!$B$6+$I37*Precios!$B$7)</f>
        <v>426600.10000000003</v>
      </c>
      <c r="T37" s="52">
        <f>Precios_v2!L48</f>
        <v>444000</v>
      </c>
    </row>
    <row r="38" spans="1:20" ht="15.75" customHeight="1" x14ac:dyDescent="0.25">
      <c r="A38" s="53" t="s">
        <v>182</v>
      </c>
      <c r="B38" s="54" t="s">
        <v>74</v>
      </c>
      <c r="C38" s="55" t="s">
        <v>113</v>
      </c>
      <c r="D38" s="55">
        <v>2</v>
      </c>
      <c r="E38" s="55" t="s">
        <v>70</v>
      </c>
      <c r="F38" s="56">
        <f>IFERROR(VLOOKUP($B38,Tipologias!$A$4:$V$8,5,0),"")</f>
        <v>3</v>
      </c>
      <c r="G38" s="56">
        <f>IFERROR(VLOOKUP($B38,Tipologias!$A$4:$V$8,6,0),"")</f>
        <v>3.5</v>
      </c>
      <c r="H38" s="57">
        <f>IFERROR(VLOOKUP($B38,Tipologias!$A$4:$V$8,9,0),"")</f>
        <v>179.17400000000001</v>
      </c>
      <c r="I38" s="57">
        <f>IFERROR(VLOOKUP($B38,Tipologias!$A$4:$V$8,10,0),"")</f>
        <v>89</v>
      </c>
      <c r="J38" s="57">
        <f>IFERROR(VLOOKUP($B38,Tipologias!$A$4:$V$8,16,0),"")</f>
        <v>301.17399999999998</v>
      </c>
      <c r="K38" s="55" t="s">
        <v>114</v>
      </c>
      <c r="L38" s="55"/>
      <c r="M38" s="58">
        <f>IFERROR(VLOOKUP($B38,Tipologias!$A$4:$V$8,19,0),"")</f>
        <v>0</v>
      </c>
      <c r="N38" s="58">
        <f t="shared" si="0"/>
        <v>0</v>
      </c>
      <c r="O38" s="58"/>
      <c r="P38" s="55"/>
      <c r="Q38" s="59" t="s">
        <v>183</v>
      </c>
      <c r="R38" s="50">
        <v>747.22</v>
      </c>
      <c r="S38" s="51">
        <f>IF(OR($H38="",$I38="",$R38=""),"",$R38*Precios!$B$5+$H38*Precios!$B$6+$I38*Precios!$B$7)</f>
        <v>425147.2</v>
      </c>
      <c r="T38" s="52">
        <f>Precios_v2!L49</f>
        <v>453000</v>
      </c>
    </row>
    <row r="39" spans="1:20" ht="15.75" customHeight="1" x14ac:dyDescent="0.25">
      <c r="A39" s="60" t="s">
        <v>184</v>
      </c>
      <c r="B39" s="54" t="s">
        <v>74</v>
      </c>
      <c r="C39" s="55" t="s">
        <v>113</v>
      </c>
      <c r="D39" s="55">
        <v>2</v>
      </c>
      <c r="E39" s="55" t="s">
        <v>70</v>
      </c>
      <c r="F39" s="56">
        <f>IFERROR(VLOOKUP($B39,Tipologias!$A$4:$V$8,5,0),"")</f>
        <v>3</v>
      </c>
      <c r="G39" s="56">
        <f>IFERROR(VLOOKUP($B39,Tipologias!$A$4:$V$8,6,0),"")</f>
        <v>3.5</v>
      </c>
      <c r="H39" s="57">
        <f>IFERROR(VLOOKUP($B39,Tipologias!$A$4:$V$8,9,0),"")</f>
        <v>179.17400000000001</v>
      </c>
      <c r="I39" s="57">
        <f>IFERROR(VLOOKUP($B39,Tipologias!$A$4:$V$8,10,0),"")</f>
        <v>89</v>
      </c>
      <c r="J39" s="57">
        <f>IFERROR(VLOOKUP($B39,Tipologias!$A$4:$V$8,16,0),"")</f>
        <v>301.17399999999998</v>
      </c>
      <c r="K39" s="55" t="s">
        <v>114</v>
      </c>
      <c r="L39" s="55"/>
      <c r="M39" s="58">
        <f>IFERROR(VLOOKUP($B39,Tipologias!$A$4:$V$8,19,0),"")</f>
        <v>0</v>
      </c>
      <c r="N39" s="58">
        <f t="shared" si="0"/>
        <v>0</v>
      </c>
      <c r="O39" s="58"/>
      <c r="P39" s="55"/>
      <c r="Q39" s="61" t="s">
        <v>185</v>
      </c>
      <c r="R39" s="50">
        <v>1127.3900000000001</v>
      </c>
      <c r="S39" s="51">
        <f>IF(OR($H39="",$I39="",$R39=""),"",$R39*Precios!$B$5+$H39*Precios!$B$6+$I39*Precios!$B$7)</f>
        <v>436552.30000000005</v>
      </c>
      <c r="T39" s="52">
        <f>Precios_v2!L50</f>
        <v>439000</v>
      </c>
    </row>
    <row r="40" spans="1:20" ht="15.75" customHeight="1" x14ac:dyDescent="0.25">
      <c r="A40" s="60" t="s">
        <v>186</v>
      </c>
      <c r="B40" s="54" t="s">
        <v>74</v>
      </c>
      <c r="C40" s="55" t="s">
        <v>113</v>
      </c>
      <c r="D40" s="55">
        <v>2</v>
      </c>
      <c r="E40" s="55" t="s">
        <v>70</v>
      </c>
      <c r="F40" s="56">
        <f>IFERROR(VLOOKUP($B40,Tipologias!$A$4:$V$8,5,0),"")</f>
        <v>3</v>
      </c>
      <c r="G40" s="56">
        <f>IFERROR(VLOOKUP($B40,Tipologias!$A$4:$V$8,6,0),"")</f>
        <v>3.5</v>
      </c>
      <c r="H40" s="57">
        <f>IFERROR(VLOOKUP($B40,Tipologias!$A$4:$V$8,9,0),"")</f>
        <v>179.17400000000001</v>
      </c>
      <c r="I40" s="57">
        <f>IFERROR(VLOOKUP($B40,Tipologias!$A$4:$V$8,10,0),"")</f>
        <v>89</v>
      </c>
      <c r="J40" s="57">
        <f>IFERROR(VLOOKUP($B40,Tipologias!$A$4:$V$8,16,0),"")</f>
        <v>301.17399999999998</v>
      </c>
      <c r="K40" s="55" t="s">
        <v>114</v>
      </c>
      <c r="L40" s="55"/>
      <c r="M40" s="58">
        <f>IFERROR(VLOOKUP($B40,Tipologias!$A$4:$V$8,19,0),"")</f>
        <v>0</v>
      </c>
      <c r="N40" s="58">
        <f t="shared" si="0"/>
        <v>0</v>
      </c>
      <c r="O40" s="58"/>
      <c r="P40" s="55"/>
      <c r="Q40" s="61" t="s">
        <v>187</v>
      </c>
      <c r="R40" s="50">
        <v>773.59</v>
      </c>
      <c r="S40" s="51">
        <f>IF(OR($H40="",$I40="",$R40=""),"",$R40*Precios!$B$5+$H40*Precios!$B$6+$I40*Precios!$B$7)</f>
        <v>425938.30000000005</v>
      </c>
      <c r="T40" s="52">
        <f>Precios_v2!L51</f>
        <v>453000</v>
      </c>
    </row>
    <row r="41" spans="1:20" ht="15.75" customHeight="1" x14ac:dyDescent="0.25">
      <c r="A41" s="60" t="s">
        <v>188</v>
      </c>
      <c r="B41" s="54" t="s">
        <v>74</v>
      </c>
      <c r="C41" s="55" t="s">
        <v>113</v>
      </c>
      <c r="D41" s="55">
        <v>2</v>
      </c>
      <c r="E41" s="55" t="s">
        <v>70</v>
      </c>
      <c r="F41" s="56">
        <f>IFERROR(VLOOKUP($B41,Tipologias!$A$4:$V$8,5,0),"")</f>
        <v>3</v>
      </c>
      <c r="G41" s="56">
        <f>IFERROR(VLOOKUP($B41,Tipologias!$A$4:$V$8,6,0),"")</f>
        <v>3.5</v>
      </c>
      <c r="H41" s="57">
        <f>IFERROR(VLOOKUP($B41,Tipologias!$A$4:$V$8,9,0),"")</f>
        <v>179.17400000000001</v>
      </c>
      <c r="I41" s="57">
        <f>IFERROR(VLOOKUP($B41,Tipologias!$A$4:$V$8,10,0),"")</f>
        <v>89</v>
      </c>
      <c r="J41" s="57">
        <f>IFERROR(VLOOKUP($B41,Tipologias!$A$4:$V$8,16,0),"")</f>
        <v>301.17399999999998</v>
      </c>
      <c r="K41" s="55" t="s">
        <v>114</v>
      </c>
      <c r="L41" s="55"/>
      <c r="M41" s="58">
        <f>IFERROR(VLOOKUP($B41,Tipologias!$A$4:$V$8,19,0),"")</f>
        <v>0</v>
      </c>
      <c r="N41" s="58">
        <f t="shared" si="0"/>
        <v>0</v>
      </c>
      <c r="O41" s="58"/>
      <c r="P41" s="55"/>
      <c r="Q41" s="61" t="s">
        <v>189</v>
      </c>
      <c r="R41" s="50">
        <v>754.14</v>
      </c>
      <c r="S41" s="51">
        <f>IF(OR($H41="",$I41="",$R41=""),"",$R41*Precios!$B$5+$H41*Precios!$B$6+$I41*Precios!$B$7)</f>
        <v>425354.80000000005</v>
      </c>
      <c r="T41" s="52">
        <f>Precios_v2!L52</f>
        <v>461000</v>
      </c>
    </row>
    <row r="42" spans="1:20" ht="15.75" customHeight="1" x14ac:dyDescent="0.25">
      <c r="A42" s="60" t="s">
        <v>190</v>
      </c>
      <c r="B42" s="54" t="s">
        <v>74</v>
      </c>
      <c r="C42" s="55" t="s">
        <v>113</v>
      </c>
      <c r="D42" s="55">
        <v>2</v>
      </c>
      <c r="E42" s="55" t="s">
        <v>70</v>
      </c>
      <c r="F42" s="56">
        <f>IFERROR(VLOOKUP($B42,Tipologias!$A$4:$V$8,5,0),"")</f>
        <v>3</v>
      </c>
      <c r="G42" s="56">
        <f>IFERROR(VLOOKUP($B42,Tipologias!$A$4:$V$8,6,0),"")</f>
        <v>3.5</v>
      </c>
      <c r="H42" s="57">
        <f>IFERROR(VLOOKUP($B42,Tipologias!$A$4:$V$8,9,0),"")</f>
        <v>179.17400000000001</v>
      </c>
      <c r="I42" s="57">
        <f>IFERROR(VLOOKUP($B42,Tipologias!$A$4:$V$8,10,0),"")</f>
        <v>89</v>
      </c>
      <c r="J42" s="57">
        <f>IFERROR(VLOOKUP($B42,Tipologias!$A$4:$V$8,16,0),"")</f>
        <v>301.17399999999998</v>
      </c>
      <c r="K42" s="55" t="s">
        <v>114</v>
      </c>
      <c r="L42" s="55"/>
      <c r="M42" s="58">
        <f>IFERROR(VLOOKUP($B42,Tipologias!$A$4:$V$8,19,0),"")</f>
        <v>0</v>
      </c>
      <c r="N42" s="58">
        <f t="shared" si="0"/>
        <v>0</v>
      </c>
      <c r="O42" s="58"/>
      <c r="P42" s="55"/>
      <c r="Q42" s="61" t="s">
        <v>189</v>
      </c>
      <c r="R42" s="50">
        <v>754.14</v>
      </c>
      <c r="S42" s="51">
        <f>IF(OR($H42="",$I42="",$R42=""),"",$R42*Precios!$B$5+$H42*Precios!$B$6+$I42*Precios!$B$7)</f>
        <v>425354.80000000005</v>
      </c>
      <c r="T42" s="52">
        <f>Precios_v2!L53</f>
        <v>461000</v>
      </c>
    </row>
    <row r="43" spans="1:20" ht="15.75" customHeight="1" x14ac:dyDescent="0.25">
      <c r="A43" s="60" t="s">
        <v>191</v>
      </c>
      <c r="B43" s="54" t="s">
        <v>74</v>
      </c>
      <c r="C43" s="55" t="s">
        <v>113</v>
      </c>
      <c r="D43" s="55">
        <v>2</v>
      </c>
      <c r="E43" s="55" t="s">
        <v>70</v>
      </c>
      <c r="F43" s="56">
        <f>IFERROR(VLOOKUP($B43,Tipologias!$A$4:$V$8,5,0),"")</f>
        <v>3</v>
      </c>
      <c r="G43" s="56">
        <f>IFERROR(VLOOKUP($B43,Tipologias!$A$4:$V$8,6,0),"")</f>
        <v>3.5</v>
      </c>
      <c r="H43" s="57">
        <f>IFERROR(VLOOKUP($B43,Tipologias!$A$4:$V$8,9,0),"")</f>
        <v>179.17400000000001</v>
      </c>
      <c r="I43" s="57">
        <f>IFERROR(VLOOKUP($B43,Tipologias!$A$4:$V$8,10,0),"")</f>
        <v>89</v>
      </c>
      <c r="J43" s="57">
        <f>IFERROR(VLOOKUP($B43,Tipologias!$A$4:$V$8,16,0),"")</f>
        <v>301.17399999999998</v>
      </c>
      <c r="K43" s="55" t="s">
        <v>114</v>
      </c>
      <c r="L43" s="55"/>
      <c r="M43" s="58">
        <f>IFERROR(VLOOKUP($B43,Tipologias!$A$4:$V$8,19,0),"")</f>
        <v>0</v>
      </c>
      <c r="N43" s="58">
        <f t="shared" si="0"/>
        <v>0</v>
      </c>
      <c r="O43" s="58"/>
      <c r="P43" s="55"/>
      <c r="Q43" s="61" t="s">
        <v>192</v>
      </c>
      <c r="R43" s="50">
        <v>754.33</v>
      </c>
      <c r="S43" s="51">
        <f>IF(OR($H43="",$I43="",$R43=""),"",$R43*Precios!$B$5+$H43*Precios!$B$6+$I43*Precios!$B$7)</f>
        <v>425360.50000000006</v>
      </c>
      <c r="T43" s="52">
        <f>Precios_v2!L54</f>
        <v>423000</v>
      </c>
    </row>
    <row r="44" spans="1:20" ht="15.75" customHeight="1" x14ac:dyDescent="0.25">
      <c r="A44" s="60" t="s">
        <v>193</v>
      </c>
      <c r="B44" s="54" t="s">
        <v>74</v>
      </c>
      <c r="C44" s="55" t="s">
        <v>113</v>
      </c>
      <c r="D44" s="55">
        <v>2</v>
      </c>
      <c r="E44" s="55" t="s">
        <v>70</v>
      </c>
      <c r="F44" s="56">
        <f>IFERROR(VLOOKUP($B44,Tipologias!$A$4:$V$8,5,0),"")</f>
        <v>3</v>
      </c>
      <c r="G44" s="56">
        <f>IFERROR(VLOOKUP($B44,Tipologias!$A$4:$V$8,6,0),"")</f>
        <v>3.5</v>
      </c>
      <c r="H44" s="57">
        <f>IFERROR(VLOOKUP($B44,Tipologias!$A$4:$V$8,9,0),"")</f>
        <v>179.17400000000001</v>
      </c>
      <c r="I44" s="57">
        <f>IFERROR(VLOOKUP($B44,Tipologias!$A$4:$V$8,10,0),"")</f>
        <v>89</v>
      </c>
      <c r="J44" s="57">
        <f>IFERROR(VLOOKUP($B44,Tipologias!$A$4:$V$8,16,0),"")</f>
        <v>301.17399999999998</v>
      </c>
      <c r="K44" s="55" t="s">
        <v>114</v>
      </c>
      <c r="L44" s="55"/>
      <c r="M44" s="58">
        <f>IFERROR(VLOOKUP($B44,Tipologias!$A$4:$V$8,19,0),"")</f>
        <v>0</v>
      </c>
      <c r="N44" s="58">
        <f t="shared" si="0"/>
        <v>0</v>
      </c>
      <c r="O44" s="58"/>
      <c r="P44" s="55"/>
      <c r="Q44" s="61" t="s">
        <v>194</v>
      </c>
      <c r="R44" s="50">
        <v>729.71</v>
      </c>
      <c r="S44" s="51">
        <f>IF(OR($H44="",$I44="",$R44=""),"",$R44*Precios!$B$5+$H44*Precios!$B$6+$I44*Precios!$B$7)</f>
        <v>424621.9</v>
      </c>
      <c r="T44" s="52">
        <f>Precios_v2!L55</f>
        <v>453000</v>
      </c>
    </row>
    <row r="45" spans="1:20" ht="15.75" customHeight="1" x14ac:dyDescent="0.25">
      <c r="A45" s="60" t="s">
        <v>195</v>
      </c>
      <c r="B45" s="54" t="s">
        <v>74</v>
      </c>
      <c r="C45" s="55" t="s">
        <v>113</v>
      </c>
      <c r="D45" s="55">
        <v>2</v>
      </c>
      <c r="E45" s="55" t="s">
        <v>70</v>
      </c>
      <c r="F45" s="56">
        <f>IFERROR(VLOOKUP($B45,Tipologias!$A$4:$V$8,5,0),"")</f>
        <v>3</v>
      </c>
      <c r="G45" s="56">
        <f>IFERROR(VLOOKUP($B45,Tipologias!$A$4:$V$8,6,0),"")</f>
        <v>3.5</v>
      </c>
      <c r="H45" s="57">
        <f>IFERROR(VLOOKUP($B45,Tipologias!$A$4:$V$8,9,0),"")</f>
        <v>179.17400000000001</v>
      </c>
      <c r="I45" s="57">
        <f>IFERROR(VLOOKUP($B45,Tipologias!$A$4:$V$8,10,0),"")</f>
        <v>89</v>
      </c>
      <c r="J45" s="57">
        <f>IFERROR(VLOOKUP($B45,Tipologias!$A$4:$V$8,16,0),"")</f>
        <v>301.17399999999998</v>
      </c>
      <c r="K45" s="55" t="s">
        <v>114</v>
      </c>
      <c r="L45" s="55"/>
      <c r="M45" s="58">
        <f>IFERROR(VLOOKUP($B45,Tipologias!$A$4:$V$8,19,0),"")</f>
        <v>0</v>
      </c>
      <c r="N45" s="58">
        <f t="shared" si="0"/>
        <v>0</v>
      </c>
      <c r="O45" s="58"/>
      <c r="P45" s="55"/>
      <c r="Q45" s="61" t="s">
        <v>196</v>
      </c>
      <c r="R45" s="50">
        <v>1046.69</v>
      </c>
      <c r="S45" s="51">
        <f>IF(OR($H45="",$I45="",$R45=""),"",$R45*Precios!$B$5+$H45*Precios!$B$6+$I45*Precios!$B$7)</f>
        <v>434131.30000000005</v>
      </c>
      <c r="T45" s="52">
        <f>Precios_v2!L56</f>
        <v>443000</v>
      </c>
    </row>
    <row r="46" spans="1:20" ht="15.75" customHeight="1" x14ac:dyDescent="0.25">
      <c r="A46" s="60" t="s">
        <v>197</v>
      </c>
      <c r="B46" s="54" t="s">
        <v>74</v>
      </c>
      <c r="C46" s="55" t="s">
        <v>113</v>
      </c>
      <c r="D46" s="55">
        <v>2</v>
      </c>
      <c r="E46" s="55" t="s">
        <v>70</v>
      </c>
      <c r="F46" s="56">
        <f>IFERROR(VLOOKUP($B46,Tipologias!$A$4:$V$8,5,0),"")</f>
        <v>3</v>
      </c>
      <c r="G46" s="56">
        <f>IFERROR(VLOOKUP($B46,Tipologias!$A$4:$V$8,6,0),"")</f>
        <v>3.5</v>
      </c>
      <c r="H46" s="57">
        <f>IFERROR(VLOOKUP($B46,Tipologias!$A$4:$V$8,9,0),"")</f>
        <v>179.17400000000001</v>
      </c>
      <c r="I46" s="57">
        <f>IFERROR(VLOOKUP($B46,Tipologias!$A$4:$V$8,10,0),"")</f>
        <v>89</v>
      </c>
      <c r="J46" s="57">
        <f>IFERROR(VLOOKUP($B46,Tipologias!$A$4:$V$8,16,0),"")</f>
        <v>301.17399999999998</v>
      </c>
      <c r="K46" s="55" t="s">
        <v>114</v>
      </c>
      <c r="L46" s="55"/>
      <c r="M46" s="58">
        <f>IFERROR(VLOOKUP($B46,Tipologias!$A$4:$V$8,19,0),"")</f>
        <v>0</v>
      </c>
      <c r="N46" s="58">
        <f t="shared" si="0"/>
        <v>0</v>
      </c>
      <c r="O46" s="58"/>
      <c r="P46" s="55"/>
      <c r="Q46" s="61" t="s">
        <v>198</v>
      </c>
      <c r="R46" s="50">
        <v>756.16</v>
      </c>
      <c r="S46" s="51">
        <f>IF(OR($H46="",$I46="",$R46=""),"",$R46*Precios!$B$5+$H46*Precios!$B$6+$I46*Precios!$B$7)</f>
        <v>425415.4</v>
      </c>
      <c r="T46" s="52">
        <f>Precios_v2!L57</f>
        <v>418000</v>
      </c>
    </row>
    <row r="47" spans="1:20" ht="15.75" customHeight="1" x14ac:dyDescent="0.25">
      <c r="A47" s="60" t="s">
        <v>199</v>
      </c>
      <c r="B47" s="54" t="s">
        <v>74</v>
      </c>
      <c r="C47" s="55" t="s">
        <v>113</v>
      </c>
      <c r="D47" s="55">
        <v>2</v>
      </c>
      <c r="E47" s="55" t="s">
        <v>70</v>
      </c>
      <c r="F47" s="56">
        <f>IFERROR(VLOOKUP($B47,Tipologias!$A$4:$V$8,5,0),"")</f>
        <v>3</v>
      </c>
      <c r="G47" s="56">
        <f>IFERROR(VLOOKUP($B47,Tipologias!$A$4:$V$8,6,0),"")</f>
        <v>3.5</v>
      </c>
      <c r="H47" s="57">
        <f>IFERROR(VLOOKUP($B47,Tipologias!$A$4:$V$8,9,0),"")</f>
        <v>179.17400000000001</v>
      </c>
      <c r="I47" s="57">
        <f>IFERROR(VLOOKUP($B47,Tipologias!$A$4:$V$8,10,0),"")</f>
        <v>89</v>
      </c>
      <c r="J47" s="57">
        <f>IFERROR(VLOOKUP($B47,Tipologias!$A$4:$V$8,16,0),"")</f>
        <v>301.17399999999998</v>
      </c>
      <c r="K47" s="55" t="s">
        <v>114</v>
      </c>
      <c r="L47" s="55"/>
      <c r="M47" s="58">
        <f>IFERROR(VLOOKUP($B47,Tipologias!$A$4:$V$8,19,0),"")</f>
        <v>0</v>
      </c>
      <c r="N47" s="58">
        <f t="shared" si="0"/>
        <v>0</v>
      </c>
      <c r="O47" s="58"/>
      <c r="P47" s="55"/>
      <c r="Q47" s="61" t="s">
        <v>200</v>
      </c>
      <c r="R47" s="50">
        <v>789.57</v>
      </c>
      <c r="S47" s="51">
        <f>IF(OR($H47="",$I47="",$R47=""),"",$R47*Precios!$B$5+$H47*Precios!$B$6+$I47*Precios!$B$7)</f>
        <v>426417.7</v>
      </c>
      <c r="T47" s="52">
        <f>Precios_v2!L58</f>
        <v>465000</v>
      </c>
    </row>
    <row r="48" spans="1:20" ht="15.75" customHeight="1" x14ac:dyDescent="0.25">
      <c r="A48" s="60" t="s">
        <v>201</v>
      </c>
      <c r="B48" s="54" t="s">
        <v>74</v>
      </c>
      <c r="C48" s="55" t="s">
        <v>113</v>
      </c>
      <c r="D48" s="55">
        <v>2</v>
      </c>
      <c r="E48" s="55" t="s">
        <v>70</v>
      </c>
      <c r="F48" s="56">
        <f>IFERROR(VLOOKUP($B48,Tipologias!$A$4:$V$8,5,0),"")</f>
        <v>3</v>
      </c>
      <c r="G48" s="56">
        <f>IFERROR(VLOOKUP($B48,Tipologias!$A$4:$V$8,6,0),"")</f>
        <v>3.5</v>
      </c>
      <c r="H48" s="57">
        <f>IFERROR(VLOOKUP($B48,Tipologias!$A$4:$V$8,9,0),"")</f>
        <v>179.17400000000001</v>
      </c>
      <c r="I48" s="57">
        <f>IFERROR(VLOOKUP($B48,Tipologias!$A$4:$V$8,10,0),"")</f>
        <v>89</v>
      </c>
      <c r="J48" s="57">
        <f>IFERROR(VLOOKUP($B48,Tipologias!$A$4:$V$8,16,0),"")</f>
        <v>301.17399999999998</v>
      </c>
      <c r="K48" s="55" t="s">
        <v>114</v>
      </c>
      <c r="L48" s="55"/>
      <c r="M48" s="58">
        <f>IFERROR(VLOOKUP($B48,Tipologias!$A$4:$V$8,19,0),"")</f>
        <v>0</v>
      </c>
      <c r="N48" s="58">
        <f t="shared" si="0"/>
        <v>0</v>
      </c>
      <c r="O48" s="58"/>
      <c r="P48" s="55"/>
      <c r="Q48" s="61" t="s">
        <v>202</v>
      </c>
      <c r="R48" s="50">
        <v>754.99</v>
      </c>
      <c r="S48" s="51">
        <f>IF(OR($H48="",$I48="",$R48=""),"",$R48*Precios!$B$5+$H48*Precios!$B$6+$I48*Precios!$B$7)</f>
        <v>425380.30000000005</v>
      </c>
      <c r="T48" s="52">
        <f>Precios_v2!L59</f>
        <v>431000</v>
      </c>
    </row>
    <row r="49" spans="1:20" ht="15.75" customHeight="1" x14ac:dyDescent="0.25">
      <c r="A49" s="60" t="s">
        <v>203</v>
      </c>
      <c r="B49" s="54" t="s">
        <v>78</v>
      </c>
      <c r="C49" s="55" t="s">
        <v>113</v>
      </c>
      <c r="D49" s="55">
        <v>1</v>
      </c>
      <c r="E49" s="55" t="s">
        <v>70</v>
      </c>
      <c r="F49" s="56">
        <f>IFERROR(VLOOKUP($B49,Tipologias!$A$4:$V$8,5,0),"")</f>
        <v>2</v>
      </c>
      <c r="G49" s="56">
        <f>IFERROR(VLOOKUP($B49,Tipologias!$A$4:$V$8,6,0),"")</f>
        <v>2.5</v>
      </c>
      <c r="H49" s="57">
        <f>IFERROR(VLOOKUP($B49,Tipologias!$A$4:$V$8,9,0),"")</f>
        <v>154.38800000000001</v>
      </c>
      <c r="I49" s="57">
        <f>IFERROR(VLOOKUP($B49,Tipologias!$A$4:$V$8,10,0),"")</f>
        <v>48</v>
      </c>
      <c r="J49" s="57">
        <f>IFERROR(VLOOKUP($B49,Tipologias!$A$4:$V$8,16,0),"")</f>
        <v>233.38800000000001</v>
      </c>
      <c r="K49" s="55" t="s">
        <v>114</v>
      </c>
      <c r="L49" s="55"/>
      <c r="M49" s="58">
        <f>IFERROR(VLOOKUP($B49,Tipologias!$A$4:$V$8,19,0),"")</f>
        <v>0</v>
      </c>
      <c r="N49" s="58">
        <f t="shared" si="0"/>
        <v>0</v>
      </c>
      <c r="O49" s="58"/>
      <c r="P49" s="55"/>
      <c r="Q49" s="61" t="s">
        <v>204</v>
      </c>
      <c r="R49" s="50">
        <v>1404.01</v>
      </c>
      <c r="S49" s="51">
        <f>IF(OR($H49="",$I49="",$R49=""),"",$R49*Precios!$B$5+$H49*Precios!$B$6+$I49*Precios!$B$7)</f>
        <v>369057.5</v>
      </c>
      <c r="T49" s="52">
        <f>Precios_v2!L60</f>
        <v>365000</v>
      </c>
    </row>
    <row r="50" spans="1:20" ht="15.75" customHeight="1" x14ac:dyDescent="0.25">
      <c r="A50" s="60" t="s">
        <v>205</v>
      </c>
      <c r="B50" s="54" t="s">
        <v>78</v>
      </c>
      <c r="C50" s="55" t="s">
        <v>113</v>
      </c>
      <c r="D50" s="55">
        <v>1</v>
      </c>
      <c r="E50" s="55" t="s">
        <v>70</v>
      </c>
      <c r="F50" s="56">
        <f>IFERROR(VLOOKUP($B50,Tipologias!$A$4:$V$8,5,0),"")</f>
        <v>2</v>
      </c>
      <c r="G50" s="56">
        <f>IFERROR(VLOOKUP($B50,Tipologias!$A$4:$V$8,6,0),"")</f>
        <v>2.5</v>
      </c>
      <c r="H50" s="57">
        <f>IFERROR(VLOOKUP($B50,Tipologias!$A$4:$V$8,9,0),"")</f>
        <v>154.38800000000001</v>
      </c>
      <c r="I50" s="57">
        <f>IFERROR(VLOOKUP($B50,Tipologias!$A$4:$V$8,10,0),"")</f>
        <v>48</v>
      </c>
      <c r="J50" s="57">
        <f>IFERROR(VLOOKUP($B50,Tipologias!$A$4:$V$8,16,0),"")</f>
        <v>233.38800000000001</v>
      </c>
      <c r="K50" s="55" t="s">
        <v>114</v>
      </c>
      <c r="L50" s="55"/>
      <c r="M50" s="58">
        <f>IFERROR(VLOOKUP($B50,Tipologias!$A$4:$V$8,19,0),"")</f>
        <v>0</v>
      </c>
      <c r="N50" s="58">
        <f t="shared" si="0"/>
        <v>0</v>
      </c>
      <c r="O50" s="58"/>
      <c r="P50" s="55"/>
      <c r="Q50" s="61" t="s">
        <v>206</v>
      </c>
      <c r="R50" s="50">
        <v>1054.49</v>
      </c>
      <c r="S50" s="51">
        <f>IF(OR($H50="",$I50="",$R50=""),"",$R50*Precios!$B$5+$H50*Precios!$B$6+$I50*Precios!$B$7)</f>
        <v>358571.9</v>
      </c>
      <c r="T50" s="52">
        <f>Precios_v2!L61</f>
        <v>386000</v>
      </c>
    </row>
    <row r="51" spans="1:20" ht="15.75" customHeight="1" x14ac:dyDescent="0.25">
      <c r="A51" s="60" t="s">
        <v>207</v>
      </c>
      <c r="B51" s="54" t="s">
        <v>78</v>
      </c>
      <c r="C51" s="55" t="s">
        <v>113</v>
      </c>
      <c r="D51" s="55">
        <v>1</v>
      </c>
      <c r="E51" s="55" t="s">
        <v>70</v>
      </c>
      <c r="F51" s="56">
        <f>IFERROR(VLOOKUP($B51,Tipologias!$A$4:$V$8,5,0),"")</f>
        <v>2</v>
      </c>
      <c r="G51" s="56">
        <f>IFERROR(VLOOKUP($B51,Tipologias!$A$4:$V$8,6,0),"")</f>
        <v>2.5</v>
      </c>
      <c r="H51" s="57">
        <f>IFERROR(VLOOKUP($B51,Tipologias!$A$4:$V$8,9,0),"")</f>
        <v>154.38800000000001</v>
      </c>
      <c r="I51" s="57">
        <f>IFERROR(VLOOKUP($B51,Tipologias!$A$4:$V$8,10,0),"")</f>
        <v>48</v>
      </c>
      <c r="J51" s="57">
        <f>IFERROR(VLOOKUP($B51,Tipologias!$A$4:$V$8,16,0),"")</f>
        <v>233.38800000000001</v>
      </c>
      <c r="K51" s="55" t="s">
        <v>114</v>
      </c>
      <c r="L51" s="55"/>
      <c r="M51" s="58">
        <f>IFERROR(VLOOKUP($B51,Tipologias!$A$4:$V$8,19,0),"")</f>
        <v>0</v>
      </c>
      <c r="N51" s="58">
        <f t="shared" si="0"/>
        <v>0</v>
      </c>
      <c r="O51" s="58"/>
      <c r="P51" s="55"/>
      <c r="Q51" s="61" t="s">
        <v>208</v>
      </c>
      <c r="R51" s="50">
        <v>852.04</v>
      </c>
      <c r="S51" s="51">
        <f>IF(OR($H51="",$I51="",$R51=""),"",$R51*Precios!$B$5+$H51*Precios!$B$6+$I51*Precios!$B$7)</f>
        <v>352498.4</v>
      </c>
      <c r="T51" s="52">
        <f>Precios_v2!L62</f>
        <v>359000</v>
      </c>
    </row>
    <row r="52" spans="1:20" ht="15.75" customHeight="1" x14ac:dyDescent="0.25">
      <c r="A52" s="60" t="s">
        <v>209</v>
      </c>
      <c r="B52" s="54" t="s">
        <v>78</v>
      </c>
      <c r="C52" s="55" t="s">
        <v>113</v>
      </c>
      <c r="D52" s="55">
        <v>1</v>
      </c>
      <c r="E52" s="55" t="s">
        <v>70</v>
      </c>
      <c r="F52" s="56">
        <f>IFERROR(VLOOKUP($B52,Tipologias!$A$4:$V$8,5,0),"")</f>
        <v>2</v>
      </c>
      <c r="G52" s="56">
        <f>IFERROR(VLOOKUP($B52,Tipologias!$A$4:$V$8,6,0),"")</f>
        <v>2.5</v>
      </c>
      <c r="H52" s="57">
        <f>IFERROR(VLOOKUP($B52,Tipologias!$A$4:$V$8,9,0),"")</f>
        <v>154.38800000000001</v>
      </c>
      <c r="I52" s="57">
        <f>IFERROR(VLOOKUP($B52,Tipologias!$A$4:$V$8,10,0),"")</f>
        <v>48</v>
      </c>
      <c r="J52" s="57">
        <f>IFERROR(VLOOKUP($B52,Tipologias!$A$4:$V$8,16,0),"")</f>
        <v>233.38800000000001</v>
      </c>
      <c r="K52" s="55" t="s">
        <v>114</v>
      </c>
      <c r="L52" s="55"/>
      <c r="M52" s="58">
        <f>IFERROR(VLOOKUP($B52,Tipologias!$A$4:$V$8,19,0),"")</f>
        <v>0</v>
      </c>
      <c r="N52" s="58">
        <f t="shared" si="0"/>
        <v>0</v>
      </c>
      <c r="O52" s="58"/>
      <c r="P52" s="55"/>
      <c r="Q52" s="61" t="s">
        <v>210</v>
      </c>
      <c r="R52" s="50">
        <v>947.6</v>
      </c>
      <c r="S52" s="51">
        <f>IF(OR($H52="",$I52="",$R52=""),"",$R52*Precios!$B$5+$H52*Precios!$B$6+$I52*Precios!$B$7)</f>
        <v>355365.2</v>
      </c>
      <c r="T52" s="52">
        <f>Precios_v2!L63</f>
        <v>360000</v>
      </c>
    </row>
    <row r="53" spans="1:20" ht="15.75" customHeight="1" x14ac:dyDescent="0.25">
      <c r="A53" s="60" t="s">
        <v>211</v>
      </c>
      <c r="B53" s="54" t="s">
        <v>78</v>
      </c>
      <c r="C53" s="55" t="s">
        <v>113</v>
      </c>
      <c r="D53" s="55">
        <v>1</v>
      </c>
      <c r="E53" s="55" t="s">
        <v>70</v>
      </c>
      <c r="F53" s="56">
        <f>IFERROR(VLOOKUP($B53,Tipologias!$A$4:$V$8,5,0),"")</f>
        <v>2</v>
      </c>
      <c r="G53" s="56">
        <f>IFERROR(VLOOKUP($B53,Tipologias!$A$4:$V$8,6,0),"")</f>
        <v>2.5</v>
      </c>
      <c r="H53" s="57">
        <f>IFERROR(VLOOKUP($B53,Tipologias!$A$4:$V$8,9,0),"")</f>
        <v>154.38800000000001</v>
      </c>
      <c r="I53" s="57">
        <f>IFERROR(VLOOKUP($B53,Tipologias!$A$4:$V$8,10,0),"")</f>
        <v>48</v>
      </c>
      <c r="J53" s="57">
        <f>IFERROR(VLOOKUP($B53,Tipologias!$A$4:$V$8,16,0),"")</f>
        <v>233.38800000000001</v>
      </c>
      <c r="K53" s="55" t="s">
        <v>114</v>
      </c>
      <c r="L53" s="55"/>
      <c r="M53" s="58">
        <f>IFERROR(VLOOKUP($B53,Tipologias!$A$4:$V$8,19,0),"")</f>
        <v>0</v>
      </c>
      <c r="N53" s="58">
        <f t="shared" si="0"/>
        <v>0</v>
      </c>
      <c r="O53" s="58"/>
      <c r="P53" s="55"/>
      <c r="Q53" s="61" t="s">
        <v>212</v>
      </c>
      <c r="R53" s="50">
        <v>753</v>
      </c>
      <c r="S53" s="51">
        <f>IF(OR($H53="",$I53="",$R53=""),"",$R53*Precios!$B$5+$H53*Precios!$B$6+$I53*Precios!$B$7)</f>
        <v>349527.2</v>
      </c>
      <c r="T53" s="52">
        <f>Precios_v2!L64</f>
        <v>365000</v>
      </c>
    </row>
    <row r="54" spans="1:20" ht="15.75" customHeight="1" x14ac:dyDescent="0.25">
      <c r="A54" s="60" t="s">
        <v>213</v>
      </c>
      <c r="B54" s="54" t="s">
        <v>78</v>
      </c>
      <c r="C54" s="55" t="s">
        <v>113</v>
      </c>
      <c r="D54" s="55">
        <v>1</v>
      </c>
      <c r="E54" s="55" t="s">
        <v>70</v>
      </c>
      <c r="F54" s="56">
        <f>IFERROR(VLOOKUP($B54,Tipologias!$A$4:$V$8,5,0),"")</f>
        <v>2</v>
      </c>
      <c r="G54" s="56">
        <f>IFERROR(VLOOKUP($B54,Tipologias!$A$4:$V$8,6,0),"")</f>
        <v>2.5</v>
      </c>
      <c r="H54" s="57">
        <f>IFERROR(VLOOKUP($B54,Tipologias!$A$4:$V$8,9,0),"")</f>
        <v>154.38800000000001</v>
      </c>
      <c r="I54" s="57">
        <f>IFERROR(VLOOKUP($B54,Tipologias!$A$4:$V$8,10,0),"")</f>
        <v>48</v>
      </c>
      <c r="J54" s="57">
        <f>IFERROR(VLOOKUP($B54,Tipologias!$A$4:$V$8,16,0),"")</f>
        <v>233.38800000000001</v>
      </c>
      <c r="K54" s="55" t="s">
        <v>114</v>
      </c>
      <c r="L54" s="55"/>
      <c r="M54" s="58">
        <f>IFERROR(VLOOKUP($B54,Tipologias!$A$4:$V$8,19,0),"")</f>
        <v>0</v>
      </c>
      <c r="N54" s="58">
        <f t="shared" si="0"/>
        <v>0</v>
      </c>
      <c r="O54" s="58"/>
      <c r="P54" s="55"/>
      <c r="Q54" s="61" t="s">
        <v>214</v>
      </c>
      <c r="R54" s="50">
        <v>759.1</v>
      </c>
      <c r="S54" s="51">
        <f>IF(OR($H54="",$I54="",$R54=""),"",$R54*Precios!$B$5+$H54*Precios!$B$6+$I54*Precios!$B$7)</f>
        <v>349710.2</v>
      </c>
      <c r="T54" s="52">
        <f>Precios_v2!L65</f>
        <v>372000</v>
      </c>
    </row>
    <row r="55" spans="1:20" ht="15.75" customHeight="1" x14ac:dyDescent="0.25">
      <c r="A55" s="60" t="s">
        <v>215</v>
      </c>
      <c r="B55" s="54" t="s">
        <v>78</v>
      </c>
      <c r="C55" s="55" t="s">
        <v>113</v>
      </c>
      <c r="D55" s="55">
        <v>1</v>
      </c>
      <c r="E55" s="55" t="s">
        <v>70</v>
      </c>
      <c r="F55" s="56">
        <f>IFERROR(VLOOKUP($B55,Tipologias!$A$4:$V$8,5,0),"")</f>
        <v>2</v>
      </c>
      <c r="G55" s="56">
        <f>IFERROR(VLOOKUP($B55,Tipologias!$A$4:$V$8,6,0),"")</f>
        <v>2.5</v>
      </c>
      <c r="H55" s="57">
        <f>IFERROR(VLOOKUP($B55,Tipologias!$A$4:$V$8,9,0),"")</f>
        <v>154.38800000000001</v>
      </c>
      <c r="I55" s="57">
        <f>IFERROR(VLOOKUP($B55,Tipologias!$A$4:$V$8,10,0),"")</f>
        <v>48</v>
      </c>
      <c r="J55" s="57">
        <f>IFERROR(VLOOKUP($B55,Tipologias!$A$4:$V$8,16,0),"")</f>
        <v>233.38800000000001</v>
      </c>
      <c r="K55" s="55" t="s">
        <v>114</v>
      </c>
      <c r="L55" s="55"/>
      <c r="M55" s="58">
        <f>IFERROR(VLOOKUP($B55,Tipologias!$A$4:$V$8,19,0),"")</f>
        <v>0</v>
      </c>
      <c r="N55" s="58">
        <f t="shared" si="0"/>
        <v>0</v>
      </c>
      <c r="O55" s="58"/>
      <c r="P55" s="55"/>
      <c r="Q55" s="61" t="s">
        <v>216</v>
      </c>
      <c r="R55" s="50">
        <v>708.38</v>
      </c>
      <c r="S55" s="51">
        <f>IF(OR($H55="",$I55="",$R55=""),"",$R55*Precios!$B$5+$H55*Precios!$B$6+$I55*Precios!$B$7)</f>
        <v>348188.60000000003</v>
      </c>
      <c r="T55" s="52">
        <f>Precios_v2!L66</f>
        <v>344000</v>
      </c>
    </row>
    <row r="56" spans="1:20" ht="15.75" customHeight="1" x14ac:dyDescent="0.25">
      <c r="A56" s="60" t="s">
        <v>217</v>
      </c>
      <c r="B56" s="54" t="s">
        <v>78</v>
      </c>
      <c r="C56" s="55" t="s">
        <v>113</v>
      </c>
      <c r="D56" s="55">
        <v>1</v>
      </c>
      <c r="E56" s="55" t="s">
        <v>70</v>
      </c>
      <c r="F56" s="56">
        <f>IFERROR(VLOOKUP($B56,Tipologias!$A$4:$V$8,5,0),"")</f>
        <v>2</v>
      </c>
      <c r="G56" s="56">
        <f>IFERROR(VLOOKUP($B56,Tipologias!$A$4:$V$8,6,0),"")</f>
        <v>2.5</v>
      </c>
      <c r="H56" s="57">
        <f>IFERROR(VLOOKUP($B56,Tipologias!$A$4:$V$8,9,0),"")</f>
        <v>154.38800000000001</v>
      </c>
      <c r="I56" s="57">
        <f>IFERROR(VLOOKUP($B56,Tipologias!$A$4:$V$8,10,0),"")</f>
        <v>48</v>
      </c>
      <c r="J56" s="57">
        <f>IFERROR(VLOOKUP($B56,Tipologias!$A$4:$V$8,16,0),"")</f>
        <v>233.38800000000001</v>
      </c>
      <c r="K56" s="55" t="s">
        <v>114</v>
      </c>
      <c r="L56" s="55"/>
      <c r="M56" s="58">
        <f>IFERROR(VLOOKUP($B56,Tipologias!$A$4:$V$8,19,0),"")</f>
        <v>0</v>
      </c>
      <c r="N56" s="58">
        <f t="shared" si="0"/>
        <v>0</v>
      </c>
      <c r="O56" s="58"/>
      <c r="P56" s="55"/>
      <c r="Q56" s="61" t="s">
        <v>218</v>
      </c>
      <c r="R56" s="50">
        <v>1060.3499999999999</v>
      </c>
      <c r="S56" s="51">
        <f>IF(OR($H56="",$I56="",$R56=""),"",$R56*Precios!$B$5+$H56*Precios!$B$6+$I56*Precios!$B$7)</f>
        <v>358747.7</v>
      </c>
      <c r="T56" s="52">
        <f>Precios_v2!L67</f>
        <v>354000</v>
      </c>
    </row>
    <row r="57" spans="1:20" ht="15.75" customHeight="1" x14ac:dyDescent="0.25">
      <c r="A57" s="60" t="s">
        <v>219</v>
      </c>
      <c r="B57" s="54" t="s">
        <v>78</v>
      </c>
      <c r="C57" s="55" t="s">
        <v>113</v>
      </c>
      <c r="D57" s="55">
        <v>1</v>
      </c>
      <c r="E57" s="55" t="s">
        <v>70</v>
      </c>
      <c r="F57" s="56">
        <f>IFERROR(VLOOKUP($B57,Tipologias!$A$4:$V$8,5,0),"")</f>
        <v>2</v>
      </c>
      <c r="G57" s="56">
        <f>IFERROR(VLOOKUP($B57,Tipologias!$A$4:$V$8,6,0),"")</f>
        <v>2.5</v>
      </c>
      <c r="H57" s="57">
        <f>IFERROR(VLOOKUP($B57,Tipologias!$A$4:$V$8,9,0),"")</f>
        <v>154.38800000000001</v>
      </c>
      <c r="I57" s="57">
        <f>IFERROR(VLOOKUP($B57,Tipologias!$A$4:$V$8,10,0),"")</f>
        <v>48</v>
      </c>
      <c r="J57" s="57">
        <f>IFERROR(VLOOKUP($B57,Tipologias!$A$4:$V$8,16,0),"")</f>
        <v>233.38800000000001</v>
      </c>
      <c r="K57" s="55" t="s">
        <v>114</v>
      </c>
      <c r="L57" s="55"/>
      <c r="M57" s="58">
        <f>IFERROR(VLOOKUP($B57,Tipologias!$A$4:$V$8,19,0),"")</f>
        <v>0</v>
      </c>
      <c r="N57" s="58">
        <f t="shared" si="0"/>
        <v>0</v>
      </c>
      <c r="O57" s="58"/>
      <c r="P57" s="55"/>
      <c r="Q57" s="61" t="s">
        <v>220</v>
      </c>
      <c r="R57" s="50">
        <v>997</v>
      </c>
      <c r="S57" s="51">
        <f>IF(OR($H57="",$I57="",$R57=""),"",$R57*Precios!$B$5+$H57*Precios!$B$6+$I57*Precios!$B$7)</f>
        <v>356847.2</v>
      </c>
      <c r="T57" s="52">
        <f>Precios_v2!L68</f>
        <v>357000</v>
      </c>
    </row>
    <row r="58" spans="1:20" ht="15.75" customHeight="1" x14ac:dyDescent="0.25">
      <c r="A58" s="60" t="s">
        <v>221</v>
      </c>
      <c r="B58" s="54" t="s">
        <v>78</v>
      </c>
      <c r="C58" s="55" t="s">
        <v>113</v>
      </c>
      <c r="D58" s="55">
        <v>1</v>
      </c>
      <c r="E58" s="55" t="s">
        <v>70</v>
      </c>
      <c r="F58" s="56">
        <f>IFERROR(VLOOKUP($B58,Tipologias!$A$4:$V$8,5,0),"")</f>
        <v>2</v>
      </c>
      <c r="G58" s="56">
        <f>IFERROR(VLOOKUP($B58,Tipologias!$A$4:$V$8,6,0),"")</f>
        <v>2.5</v>
      </c>
      <c r="H58" s="57">
        <f>IFERROR(VLOOKUP($B58,Tipologias!$A$4:$V$8,9,0),"")</f>
        <v>154.38800000000001</v>
      </c>
      <c r="I58" s="57">
        <f>IFERROR(VLOOKUP($B58,Tipologias!$A$4:$V$8,10,0),"")</f>
        <v>48</v>
      </c>
      <c r="J58" s="57">
        <f>IFERROR(VLOOKUP($B58,Tipologias!$A$4:$V$8,16,0),"")</f>
        <v>233.38800000000001</v>
      </c>
      <c r="K58" s="55" t="s">
        <v>114</v>
      </c>
      <c r="L58" s="55"/>
      <c r="M58" s="58">
        <f>IFERROR(VLOOKUP($B58,Tipologias!$A$4:$V$8,19,0),"")</f>
        <v>0</v>
      </c>
      <c r="N58" s="58">
        <f t="shared" si="0"/>
        <v>0</v>
      </c>
      <c r="O58" s="58"/>
      <c r="P58" s="55"/>
      <c r="Q58" s="61" t="s">
        <v>222</v>
      </c>
      <c r="R58" s="50">
        <v>1002.34</v>
      </c>
      <c r="S58" s="51">
        <f>IF(OR($H58="",$I58="",$R58=""),"",$R58*Precios!$B$5+$H58*Precios!$B$6+$I58*Precios!$B$7)</f>
        <v>357007.4</v>
      </c>
      <c r="T58" s="52">
        <f>Precios_v2!L69</f>
        <v>357000</v>
      </c>
    </row>
    <row r="59" spans="1:20" ht="15.75" customHeight="1" x14ac:dyDescent="0.25">
      <c r="A59" s="60" t="s">
        <v>223</v>
      </c>
      <c r="B59" s="54" t="s">
        <v>78</v>
      </c>
      <c r="C59" s="55" t="s">
        <v>113</v>
      </c>
      <c r="D59" s="55">
        <v>1</v>
      </c>
      <c r="E59" s="55" t="s">
        <v>70</v>
      </c>
      <c r="F59" s="56">
        <f>IFERROR(VLOOKUP($B59,Tipologias!$A$4:$V$8,5,0),"")</f>
        <v>2</v>
      </c>
      <c r="G59" s="56">
        <f>IFERROR(VLOOKUP($B59,Tipologias!$A$4:$V$8,6,0),"")</f>
        <v>2.5</v>
      </c>
      <c r="H59" s="57">
        <f>IFERROR(VLOOKUP($B59,Tipologias!$A$4:$V$8,9,0),"")</f>
        <v>154.38800000000001</v>
      </c>
      <c r="I59" s="57">
        <f>IFERROR(VLOOKUP($B59,Tipologias!$A$4:$V$8,10,0),"")</f>
        <v>48</v>
      </c>
      <c r="J59" s="57">
        <f>IFERROR(VLOOKUP($B59,Tipologias!$A$4:$V$8,16,0),"")</f>
        <v>233.38800000000001</v>
      </c>
      <c r="K59" s="55" t="s">
        <v>114</v>
      </c>
      <c r="L59" s="55"/>
      <c r="M59" s="58">
        <f>IFERROR(VLOOKUP($B59,Tipologias!$A$4:$V$8,19,0),"")</f>
        <v>0</v>
      </c>
      <c r="N59" s="58">
        <f t="shared" si="0"/>
        <v>0</v>
      </c>
      <c r="O59" s="58"/>
      <c r="P59" s="55"/>
      <c r="Q59" s="61" t="s">
        <v>224</v>
      </c>
      <c r="R59" s="50">
        <v>1043.9000000000001</v>
      </c>
      <c r="S59" s="51">
        <f>IF(OR($H59="",$I59="",$R59=""),"",$R59*Precios!$B$5+$H59*Precios!$B$6+$I59*Precios!$B$7)</f>
        <v>358254.2</v>
      </c>
      <c r="T59" s="52">
        <f>Precios_v2!L70</f>
        <v>357000</v>
      </c>
    </row>
    <row r="60" spans="1:20" ht="15.75" customHeight="1" x14ac:dyDescent="0.25">
      <c r="A60" s="60" t="s">
        <v>225</v>
      </c>
      <c r="B60" s="54" t="s">
        <v>78</v>
      </c>
      <c r="C60" s="55" t="s">
        <v>113</v>
      </c>
      <c r="D60" s="55">
        <v>1</v>
      </c>
      <c r="E60" s="55" t="s">
        <v>70</v>
      </c>
      <c r="F60" s="56">
        <f>IFERROR(VLOOKUP($B60,Tipologias!$A$4:$V$8,5,0),"")</f>
        <v>2</v>
      </c>
      <c r="G60" s="56">
        <f>IFERROR(VLOOKUP($B60,Tipologias!$A$4:$V$8,6,0),"")</f>
        <v>2.5</v>
      </c>
      <c r="H60" s="57">
        <f>IFERROR(VLOOKUP($B60,Tipologias!$A$4:$V$8,9,0),"")</f>
        <v>154.38800000000001</v>
      </c>
      <c r="I60" s="57">
        <f>IFERROR(VLOOKUP($B60,Tipologias!$A$4:$V$8,10,0),"")</f>
        <v>48</v>
      </c>
      <c r="J60" s="57">
        <f>IFERROR(VLOOKUP($B60,Tipologias!$A$4:$V$8,16,0),"")</f>
        <v>233.38800000000001</v>
      </c>
      <c r="K60" s="55" t="s">
        <v>114</v>
      </c>
      <c r="L60" s="55"/>
      <c r="M60" s="58">
        <f>IFERROR(VLOOKUP($B60,Tipologias!$A$4:$V$8,19,0),"")</f>
        <v>0</v>
      </c>
      <c r="N60" s="58">
        <f t="shared" si="0"/>
        <v>0</v>
      </c>
      <c r="O60" s="58"/>
      <c r="P60" s="55"/>
      <c r="Q60" s="61" t="s">
        <v>226</v>
      </c>
      <c r="R60" s="50">
        <v>1385.69</v>
      </c>
      <c r="S60" s="51">
        <f>IF(OR($H60="",$I60="",$R60=""),"",$R60*Precios!$B$5+$H60*Precios!$B$6+$I60*Precios!$B$7)</f>
        <v>368507.9</v>
      </c>
      <c r="T60" s="52">
        <f>Precios_v2!L71</f>
        <v>347000</v>
      </c>
    </row>
    <row r="61" spans="1:20" ht="15.75" customHeight="1" x14ac:dyDescent="0.25">
      <c r="A61" s="60" t="s">
        <v>227</v>
      </c>
      <c r="B61" s="54" t="s">
        <v>78</v>
      </c>
      <c r="C61" s="55" t="s">
        <v>113</v>
      </c>
      <c r="D61" s="55">
        <v>1</v>
      </c>
      <c r="E61" s="55" t="s">
        <v>70</v>
      </c>
      <c r="F61" s="56">
        <f>IFERROR(VLOOKUP($B61,Tipologias!$A$4:$V$8,5,0),"")</f>
        <v>2</v>
      </c>
      <c r="G61" s="56">
        <f>IFERROR(VLOOKUP($B61,Tipologias!$A$4:$V$8,6,0),"")</f>
        <v>2.5</v>
      </c>
      <c r="H61" s="57">
        <f>IFERROR(VLOOKUP($B61,Tipologias!$A$4:$V$8,9,0),"")</f>
        <v>154.38800000000001</v>
      </c>
      <c r="I61" s="57">
        <f>IFERROR(VLOOKUP($B61,Tipologias!$A$4:$V$8,10,0),"")</f>
        <v>48</v>
      </c>
      <c r="J61" s="57">
        <f>IFERROR(VLOOKUP($B61,Tipologias!$A$4:$V$8,16,0),"")</f>
        <v>233.38800000000001</v>
      </c>
      <c r="K61" s="55" t="s">
        <v>114</v>
      </c>
      <c r="L61" s="55"/>
      <c r="M61" s="58">
        <f>IFERROR(VLOOKUP($B61,Tipologias!$A$4:$V$8,19,0),"")</f>
        <v>0</v>
      </c>
      <c r="N61" s="58">
        <f t="shared" si="0"/>
        <v>0</v>
      </c>
      <c r="O61" s="58"/>
      <c r="P61" s="55"/>
      <c r="Q61" s="61" t="s">
        <v>228</v>
      </c>
      <c r="R61" s="50">
        <v>903.09</v>
      </c>
      <c r="S61" s="51">
        <f>IF(OR($H61="",$I61="",$R61=""),"",$R61*Precios!$B$5+$H61*Precios!$B$6+$I61*Precios!$B$7)</f>
        <v>354029.9</v>
      </c>
      <c r="T61" s="52">
        <f>Precios_v2!L72</f>
        <v>370000</v>
      </c>
    </row>
    <row r="62" spans="1:20" ht="15.75" customHeight="1" x14ac:dyDescent="0.25">
      <c r="A62" s="60" t="s">
        <v>229</v>
      </c>
      <c r="B62" s="54" t="s">
        <v>78</v>
      </c>
      <c r="C62" s="55" t="s">
        <v>113</v>
      </c>
      <c r="D62" s="55">
        <v>1</v>
      </c>
      <c r="E62" s="55" t="s">
        <v>70</v>
      </c>
      <c r="F62" s="56">
        <f>IFERROR(VLOOKUP($B62,Tipologias!$A$4:$V$8,5,0),"")</f>
        <v>2</v>
      </c>
      <c r="G62" s="56">
        <f>IFERROR(VLOOKUP($B62,Tipologias!$A$4:$V$8,6,0),"")</f>
        <v>2.5</v>
      </c>
      <c r="H62" s="57">
        <f>IFERROR(VLOOKUP($B62,Tipologias!$A$4:$V$8,9,0),"")</f>
        <v>154.38800000000001</v>
      </c>
      <c r="I62" s="57">
        <f>IFERROR(VLOOKUP($B62,Tipologias!$A$4:$V$8,10,0),"")</f>
        <v>48</v>
      </c>
      <c r="J62" s="57">
        <f>IFERROR(VLOOKUP($B62,Tipologias!$A$4:$V$8,16,0),"")</f>
        <v>233.38800000000001</v>
      </c>
      <c r="K62" s="55" t="s">
        <v>114</v>
      </c>
      <c r="L62" s="55"/>
      <c r="M62" s="58">
        <f>IFERROR(VLOOKUP($B62,Tipologias!$A$4:$V$8,19,0),"")</f>
        <v>0</v>
      </c>
      <c r="N62" s="58">
        <f t="shared" si="0"/>
        <v>0</v>
      </c>
      <c r="O62" s="58"/>
      <c r="P62" s="55"/>
      <c r="Q62" s="61" t="s">
        <v>230</v>
      </c>
      <c r="R62" s="50">
        <v>847.42</v>
      </c>
      <c r="S62" s="51">
        <f>IF(OR($H62="",$I62="",$R62=""),"",$R62*Precios!$B$5+$H62*Precios!$B$6+$I62*Precios!$B$7)</f>
        <v>352359.8</v>
      </c>
      <c r="T62" s="52">
        <f>Precios_v2!L73</f>
        <v>383000</v>
      </c>
    </row>
    <row r="63" spans="1:20" ht="15.75" customHeight="1" x14ac:dyDescent="0.25">
      <c r="A63" s="60" t="s">
        <v>231</v>
      </c>
      <c r="B63" s="54" t="s">
        <v>78</v>
      </c>
      <c r="C63" s="55" t="s">
        <v>113</v>
      </c>
      <c r="D63" s="55">
        <v>1</v>
      </c>
      <c r="E63" s="55" t="s">
        <v>70</v>
      </c>
      <c r="F63" s="56">
        <f>IFERROR(VLOOKUP($B63,Tipologias!$A$4:$V$8,5,0),"")</f>
        <v>2</v>
      </c>
      <c r="G63" s="56">
        <f>IFERROR(VLOOKUP($B63,Tipologias!$A$4:$V$8,6,0),"")</f>
        <v>2.5</v>
      </c>
      <c r="H63" s="57">
        <f>IFERROR(VLOOKUP($B63,Tipologias!$A$4:$V$8,9,0),"")</f>
        <v>154.38800000000001</v>
      </c>
      <c r="I63" s="57">
        <f>IFERROR(VLOOKUP($B63,Tipologias!$A$4:$V$8,10,0),"")</f>
        <v>48</v>
      </c>
      <c r="J63" s="57">
        <f>IFERROR(VLOOKUP($B63,Tipologias!$A$4:$V$8,16,0),"")</f>
        <v>233.38800000000001</v>
      </c>
      <c r="K63" s="55" t="s">
        <v>114</v>
      </c>
      <c r="L63" s="55"/>
      <c r="M63" s="58">
        <f>IFERROR(VLOOKUP($B63,Tipologias!$A$4:$V$8,19,0),"")</f>
        <v>0</v>
      </c>
      <c r="N63" s="58">
        <f t="shared" si="0"/>
        <v>0</v>
      </c>
      <c r="O63" s="58"/>
      <c r="P63" s="55"/>
      <c r="Q63" s="61" t="s">
        <v>232</v>
      </c>
      <c r="R63" s="50">
        <v>756.37</v>
      </c>
      <c r="S63" s="51">
        <f>IF(OR($H63="",$I63="",$R63=""),"",$R63*Precios!$B$5+$H63*Precios!$B$6+$I63*Precios!$B$7)</f>
        <v>349628.3</v>
      </c>
      <c r="T63" s="52">
        <f>Precios_v2!L74</f>
        <v>369000</v>
      </c>
    </row>
    <row r="64" spans="1:20" ht="15.75" customHeight="1" x14ac:dyDescent="0.25">
      <c r="A64" s="60" t="s">
        <v>233</v>
      </c>
      <c r="B64" s="54" t="s">
        <v>78</v>
      </c>
      <c r="C64" s="55" t="s">
        <v>113</v>
      </c>
      <c r="D64" s="55">
        <v>1</v>
      </c>
      <c r="E64" s="55" t="s">
        <v>70</v>
      </c>
      <c r="F64" s="56">
        <f>IFERROR(VLOOKUP($B64,Tipologias!$A$4:$V$8,5,0),"")</f>
        <v>2</v>
      </c>
      <c r="G64" s="56">
        <f>IFERROR(VLOOKUP($B64,Tipologias!$A$4:$V$8,6,0),"")</f>
        <v>2.5</v>
      </c>
      <c r="H64" s="57">
        <f>IFERROR(VLOOKUP($B64,Tipologias!$A$4:$V$8,9,0),"")</f>
        <v>154.38800000000001</v>
      </c>
      <c r="I64" s="57">
        <f>IFERROR(VLOOKUP($B64,Tipologias!$A$4:$V$8,10,0),"")</f>
        <v>48</v>
      </c>
      <c r="J64" s="57">
        <f>IFERROR(VLOOKUP($B64,Tipologias!$A$4:$V$8,16,0),"")</f>
        <v>233.38800000000001</v>
      </c>
      <c r="K64" s="55" t="s">
        <v>114</v>
      </c>
      <c r="L64" s="55"/>
      <c r="M64" s="58">
        <f>IFERROR(VLOOKUP($B64,Tipologias!$A$4:$V$8,19,0),"")</f>
        <v>0</v>
      </c>
      <c r="N64" s="58">
        <f t="shared" si="0"/>
        <v>0</v>
      </c>
      <c r="O64" s="58"/>
      <c r="P64" s="55"/>
      <c r="Q64" s="61" t="s">
        <v>234</v>
      </c>
      <c r="R64" s="50">
        <v>861.39</v>
      </c>
      <c r="S64" s="51">
        <f>IF(OR($H64="",$I64="",$R64=""),"",$R64*Precios!$B$5+$H64*Precios!$B$6+$I64*Precios!$B$7)</f>
        <v>352778.9</v>
      </c>
      <c r="T64" s="52">
        <f>Precios_v2!L75</f>
        <v>380000</v>
      </c>
    </row>
    <row r="65" spans="1:20" ht="15.75" customHeight="1" x14ac:dyDescent="0.25">
      <c r="A65" s="60" t="s">
        <v>235</v>
      </c>
      <c r="B65" s="54" t="s">
        <v>78</v>
      </c>
      <c r="C65" s="55" t="s">
        <v>113</v>
      </c>
      <c r="D65" s="55">
        <v>1</v>
      </c>
      <c r="E65" s="55" t="s">
        <v>70</v>
      </c>
      <c r="F65" s="56">
        <f>IFERROR(VLOOKUP($B65,Tipologias!$A$4:$V$8,5,0),"")</f>
        <v>2</v>
      </c>
      <c r="G65" s="56">
        <f>IFERROR(VLOOKUP($B65,Tipologias!$A$4:$V$8,6,0),"")</f>
        <v>2.5</v>
      </c>
      <c r="H65" s="57">
        <f>IFERROR(VLOOKUP($B65,Tipologias!$A$4:$V$8,9,0),"")</f>
        <v>154.38800000000001</v>
      </c>
      <c r="I65" s="57">
        <f>IFERROR(VLOOKUP($B65,Tipologias!$A$4:$V$8,10,0),"")</f>
        <v>48</v>
      </c>
      <c r="J65" s="57">
        <f>IFERROR(VLOOKUP($B65,Tipologias!$A$4:$V$8,16,0),"")</f>
        <v>233.38800000000001</v>
      </c>
      <c r="K65" s="55" t="s">
        <v>114</v>
      </c>
      <c r="L65" s="55"/>
      <c r="M65" s="58">
        <f>IFERROR(VLOOKUP($B65,Tipologias!$A$4:$V$8,19,0),"")</f>
        <v>0</v>
      </c>
      <c r="N65" s="58">
        <f t="shared" si="0"/>
        <v>0</v>
      </c>
      <c r="O65" s="58"/>
      <c r="P65" s="55"/>
      <c r="Q65" s="61" t="s">
        <v>236</v>
      </c>
      <c r="R65" s="50">
        <v>773.75</v>
      </c>
      <c r="S65" s="51">
        <f>IF(OR($H65="",$I65="",$R65=""),"",$R65*Precios!$B$5+$H65*Precios!$B$6+$I65*Precios!$B$7)</f>
        <v>350149.7</v>
      </c>
      <c r="T65" s="52">
        <f>Precios_v2!L76</f>
        <v>376000</v>
      </c>
    </row>
    <row r="66" spans="1:20" ht="15.75" customHeight="1" x14ac:dyDescent="0.25">
      <c r="A66" s="60" t="s">
        <v>237</v>
      </c>
      <c r="B66" s="54" t="s">
        <v>78</v>
      </c>
      <c r="C66" s="55" t="s">
        <v>113</v>
      </c>
      <c r="D66" s="55">
        <v>1</v>
      </c>
      <c r="E66" s="55" t="s">
        <v>70</v>
      </c>
      <c r="F66" s="56">
        <f>IFERROR(VLOOKUP($B66,Tipologias!$A$4:$V$8,5,0),"")</f>
        <v>2</v>
      </c>
      <c r="G66" s="56">
        <f>IFERROR(VLOOKUP($B66,Tipologias!$A$4:$V$8,6,0),"")</f>
        <v>2.5</v>
      </c>
      <c r="H66" s="57">
        <f>IFERROR(VLOOKUP($B66,Tipologias!$A$4:$V$8,9,0),"")</f>
        <v>154.38800000000001</v>
      </c>
      <c r="I66" s="57">
        <f>IFERROR(VLOOKUP($B66,Tipologias!$A$4:$V$8,10,0),"")</f>
        <v>48</v>
      </c>
      <c r="J66" s="57">
        <f>IFERROR(VLOOKUP($B66,Tipologias!$A$4:$V$8,16,0),"")</f>
        <v>233.38800000000001</v>
      </c>
      <c r="K66" s="55" t="s">
        <v>114</v>
      </c>
      <c r="L66" s="55"/>
      <c r="M66" s="58">
        <f>IFERROR(VLOOKUP($B66,Tipologias!$A$4:$V$8,19,0),"")</f>
        <v>0</v>
      </c>
      <c r="N66" s="58">
        <f t="shared" si="0"/>
        <v>0</v>
      </c>
      <c r="O66" s="58"/>
      <c r="P66" s="55"/>
      <c r="Q66" s="61" t="s">
        <v>238</v>
      </c>
      <c r="R66" s="50">
        <v>932.54</v>
      </c>
      <c r="S66" s="51">
        <f>IF(OR($H66="",$I66="",$R66=""),"",$R66*Precios!$B$5+$H66*Precios!$B$6+$I66*Precios!$B$7)</f>
        <v>354913.4</v>
      </c>
      <c r="T66" s="52">
        <f>Precios_v2!L77</f>
        <v>360000</v>
      </c>
    </row>
    <row r="67" spans="1:20" ht="15.75" customHeight="1" x14ac:dyDescent="0.25">
      <c r="A67" s="60" t="s">
        <v>239</v>
      </c>
      <c r="B67" s="54" t="s">
        <v>78</v>
      </c>
      <c r="C67" s="55" t="s">
        <v>113</v>
      </c>
      <c r="D67" s="55">
        <v>1</v>
      </c>
      <c r="E67" s="55" t="s">
        <v>70</v>
      </c>
      <c r="F67" s="56">
        <f>IFERROR(VLOOKUP($B67,Tipologias!$A$4:$V$8,5,0),"")</f>
        <v>2</v>
      </c>
      <c r="G67" s="56">
        <f>IFERROR(VLOOKUP($B67,Tipologias!$A$4:$V$8,6,0),"")</f>
        <v>2.5</v>
      </c>
      <c r="H67" s="57">
        <f>IFERROR(VLOOKUP($B67,Tipologias!$A$4:$V$8,9,0),"")</f>
        <v>154.38800000000001</v>
      </c>
      <c r="I67" s="57">
        <f>IFERROR(VLOOKUP($B67,Tipologias!$A$4:$V$8,10,0),"")</f>
        <v>48</v>
      </c>
      <c r="J67" s="57">
        <f>IFERROR(VLOOKUP($B67,Tipologias!$A$4:$V$8,16,0),"")</f>
        <v>233.38800000000001</v>
      </c>
      <c r="K67" s="55" t="s">
        <v>114</v>
      </c>
      <c r="L67" s="55"/>
      <c r="M67" s="58">
        <f>IFERROR(VLOOKUP($B67,Tipologias!$A$4:$V$8,19,0),"")</f>
        <v>0</v>
      </c>
      <c r="N67" s="58">
        <f t="shared" ref="N67:N130" si="1">IF(OR($M67="",$J67=""),"",$M67*$J67)</f>
        <v>0</v>
      </c>
      <c r="O67" s="58"/>
      <c r="P67" s="55"/>
      <c r="Q67" s="61" t="s">
        <v>240</v>
      </c>
      <c r="R67" s="50">
        <v>1002.2</v>
      </c>
      <c r="S67" s="51">
        <f>IF(OR($H67="",$I67="",$R67=""),"",$R67*Precios!$B$5+$H67*Precios!$B$6+$I67*Precios!$B$7)</f>
        <v>357003.2</v>
      </c>
      <c r="T67" s="52">
        <f>Precios_v2!L78</f>
        <v>357000</v>
      </c>
    </row>
    <row r="68" spans="1:20" ht="15.75" customHeight="1" x14ac:dyDescent="0.25">
      <c r="A68" s="60" t="s">
        <v>241</v>
      </c>
      <c r="B68" s="54" t="s">
        <v>78</v>
      </c>
      <c r="C68" s="55" t="s">
        <v>113</v>
      </c>
      <c r="D68" s="55">
        <v>1</v>
      </c>
      <c r="E68" s="55" t="s">
        <v>70</v>
      </c>
      <c r="F68" s="56">
        <f>IFERROR(VLOOKUP($B68,Tipologias!$A$4:$V$8,5,0),"")</f>
        <v>2</v>
      </c>
      <c r="G68" s="56">
        <f>IFERROR(VLOOKUP($B68,Tipologias!$A$4:$V$8,6,0),"")</f>
        <v>2.5</v>
      </c>
      <c r="H68" s="57">
        <f>IFERROR(VLOOKUP($B68,Tipologias!$A$4:$V$8,9,0),"")</f>
        <v>154.38800000000001</v>
      </c>
      <c r="I68" s="57">
        <f>IFERROR(VLOOKUP($B68,Tipologias!$A$4:$V$8,10,0),"")</f>
        <v>48</v>
      </c>
      <c r="J68" s="57">
        <f>IFERROR(VLOOKUP($B68,Tipologias!$A$4:$V$8,16,0),"")</f>
        <v>233.38800000000001</v>
      </c>
      <c r="K68" s="55" t="s">
        <v>114</v>
      </c>
      <c r="L68" s="55"/>
      <c r="M68" s="58">
        <f>IFERROR(VLOOKUP($B68,Tipologias!$A$4:$V$8,19,0),"")</f>
        <v>0</v>
      </c>
      <c r="N68" s="58">
        <f t="shared" si="1"/>
        <v>0</v>
      </c>
      <c r="O68" s="58"/>
      <c r="P68" s="55"/>
      <c r="Q68" s="61" t="s">
        <v>242</v>
      </c>
      <c r="R68" s="50">
        <v>1168.0999999999999</v>
      </c>
      <c r="S68" s="51">
        <f>IF(OR($H68="",$I68="",$R68=""),"",$R68*Precios!$B$5+$H68*Precios!$B$6+$I68*Precios!$B$7)</f>
        <v>361980.2</v>
      </c>
      <c r="T68" s="52">
        <f>Precios_v2!L79</f>
        <v>359000</v>
      </c>
    </row>
    <row r="69" spans="1:20" ht="15.75" customHeight="1" x14ac:dyDescent="0.25">
      <c r="A69" s="60" t="s">
        <v>243</v>
      </c>
      <c r="B69" s="54" t="s">
        <v>78</v>
      </c>
      <c r="C69" s="55" t="s">
        <v>113</v>
      </c>
      <c r="D69" s="55">
        <v>1</v>
      </c>
      <c r="E69" s="55" t="s">
        <v>70</v>
      </c>
      <c r="F69" s="56">
        <f>IFERROR(VLOOKUP($B69,Tipologias!$A$4:$V$8,5,0),"")</f>
        <v>2</v>
      </c>
      <c r="G69" s="56">
        <f>IFERROR(VLOOKUP($B69,Tipologias!$A$4:$V$8,6,0),"")</f>
        <v>2.5</v>
      </c>
      <c r="H69" s="57">
        <f>IFERROR(VLOOKUP($B69,Tipologias!$A$4:$V$8,9,0),"")</f>
        <v>154.38800000000001</v>
      </c>
      <c r="I69" s="57">
        <f>IFERROR(VLOOKUP($B69,Tipologias!$A$4:$V$8,10,0),"")</f>
        <v>48</v>
      </c>
      <c r="J69" s="57">
        <f>IFERROR(VLOOKUP($B69,Tipologias!$A$4:$V$8,16,0),"")</f>
        <v>233.38800000000001</v>
      </c>
      <c r="K69" s="55" t="s">
        <v>114</v>
      </c>
      <c r="L69" s="55"/>
      <c r="M69" s="58">
        <f>IFERROR(VLOOKUP($B69,Tipologias!$A$4:$V$8,19,0),"")</f>
        <v>0</v>
      </c>
      <c r="N69" s="58">
        <f t="shared" si="1"/>
        <v>0</v>
      </c>
      <c r="O69" s="58"/>
      <c r="P69" s="55"/>
      <c r="Q69" s="61" t="s">
        <v>244</v>
      </c>
      <c r="R69" s="50">
        <v>980.33</v>
      </c>
      <c r="S69" s="51">
        <f>IF(OR($H69="",$I69="",$R69=""),"",$R69*Precios!$B$5+$H69*Precios!$B$6+$I69*Precios!$B$7)</f>
        <v>356347.10000000003</v>
      </c>
      <c r="T69" s="52">
        <f>Precios_v2!L80</f>
        <v>357000</v>
      </c>
    </row>
    <row r="70" spans="1:20" ht="15.75" customHeight="1" x14ac:dyDescent="0.25">
      <c r="A70" s="60" t="s">
        <v>245</v>
      </c>
      <c r="B70" s="54" t="s">
        <v>78</v>
      </c>
      <c r="C70" s="55" t="s">
        <v>113</v>
      </c>
      <c r="D70" s="55">
        <v>1</v>
      </c>
      <c r="E70" s="55" t="s">
        <v>70</v>
      </c>
      <c r="F70" s="56">
        <f>IFERROR(VLOOKUP($B70,Tipologias!$A$4:$V$8,5,0),"")</f>
        <v>2</v>
      </c>
      <c r="G70" s="56">
        <f>IFERROR(VLOOKUP($B70,Tipologias!$A$4:$V$8,6,0),"")</f>
        <v>2.5</v>
      </c>
      <c r="H70" s="57">
        <f>IFERROR(VLOOKUP($B70,Tipologias!$A$4:$V$8,9,0),"")</f>
        <v>154.38800000000001</v>
      </c>
      <c r="I70" s="57">
        <f>IFERROR(VLOOKUP($B70,Tipologias!$A$4:$V$8,10,0),"")</f>
        <v>48</v>
      </c>
      <c r="J70" s="57">
        <f>IFERROR(VLOOKUP($B70,Tipologias!$A$4:$V$8,16,0),"")</f>
        <v>233.38800000000001</v>
      </c>
      <c r="K70" s="55" t="s">
        <v>114</v>
      </c>
      <c r="L70" s="55"/>
      <c r="M70" s="58">
        <f>IFERROR(VLOOKUP($B70,Tipologias!$A$4:$V$8,19,0),"")</f>
        <v>0</v>
      </c>
      <c r="N70" s="58">
        <f t="shared" si="1"/>
        <v>0</v>
      </c>
      <c r="O70" s="58"/>
      <c r="P70" s="55"/>
      <c r="Q70" s="61" t="s">
        <v>246</v>
      </c>
      <c r="R70" s="50">
        <v>987.88</v>
      </c>
      <c r="S70" s="51">
        <f>IF(OR($H70="",$I70="",$R70=""),"",$R70*Precios!$B$5+$H70*Precios!$B$6+$I70*Precios!$B$7)</f>
        <v>356573.60000000003</v>
      </c>
      <c r="T70" s="52">
        <f>Precios_v2!L81</f>
        <v>350000</v>
      </c>
    </row>
    <row r="71" spans="1:20" ht="15.75" customHeight="1" x14ac:dyDescent="0.25">
      <c r="A71" s="60" t="s">
        <v>247</v>
      </c>
      <c r="B71" s="54" t="s">
        <v>78</v>
      </c>
      <c r="C71" s="55" t="s">
        <v>113</v>
      </c>
      <c r="D71" s="55">
        <v>1</v>
      </c>
      <c r="E71" s="55" t="s">
        <v>70</v>
      </c>
      <c r="F71" s="56">
        <f>IFERROR(VLOOKUP($B71,Tipologias!$A$4:$V$8,5,0),"")</f>
        <v>2</v>
      </c>
      <c r="G71" s="56">
        <f>IFERROR(VLOOKUP($B71,Tipologias!$A$4:$V$8,6,0),"")</f>
        <v>2.5</v>
      </c>
      <c r="H71" s="57">
        <f>IFERROR(VLOOKUP($B71,Tipologias!$A$4:$V$8,9,0),"")</f>
        <v>154.38800000000001</v>
      </c>
      <c r="I71" s="57">
        <f>IFERROR(VLOOKUP($B71,Tipologias!$A$4:$V$8,10,0),"")</f>
        <v>48</v>
      </c>
      <c r="J71" s="57">
        <f>IFERROR(VLOOKUP($B71,Tipologias!$A$4:$V$8,16,0),"")</f>
        <v>233.38800000000001</v>
      </c>
      <c r="K71" s="55" t="s">
        <v>114</v>
      </c>
      <c r="L71" s="55"/>
      <c r="M71" s="58">
        <f>IFERROR(VLOOKUP($B71,Tipologias!$A$4:$V$8,19,0),"")</f>
        <v>0</v>
      </c>
      <c r="N71" s="58">
        <f t="shared" si="1"/>
        <v>0</v>
      </c>
      <c r="O71" s="58"/>
      <c r="P71" s="55"/>
      <c r="Q71" s="61" t="s">
        <v>248</v>
      </c>
      <c r="R71" s="50">
        <v>1029.56</v>
      </c>
      <c r="S71" s="51">
        <f>IF(OR($H71="",$I71="",$R71=""),"",$R71*Precios!$B$5+$H71*Precios!$B$6+$I71*Precios!$B$7)</f>
        <v>357824</v>
      </c>
      <c r="T71" s="52">
        <f>Precios_v2!L82</f>
        <v>343000</v>
      </c>
    </row>
    <row r="72" spans="1:20" ht="15.75" customHeight="1" x14ac:dyDescent="0.25">
      <c r="A72" s="60" t="s">
        <v>249</v>
      </c>
      <c r="B72" s="54" t="s">
        <v>78</v>
      </c>
      <c r="C72" s="55" t="s">
        <v>113</v>
      </c>
      <c r="D72" s="55">
        <v>1</v>
      </c>
      <c r="E72" s="55" t="s">
        <v>70</v>
      </c>
      <c r="F72" s="56">
        <f>IFERROR(VLOOKUP($B72,Tipologias!$A$4:$V$8,5,0),"")</f>
        <v>2</v>
      </c>
      <c r="G72" s="56">
        <f>IFERROR(VLOOKUP($B72,Tipologias!$A$4:$V$8,6,0),"")</f>
        <v>2.5</v>
      </c>
      <c r="H72" s="57">
        <f>IFERROR(VLOOKUP($B72,Tipologias!$A$4:$V$8,9,0),"")</f>
        <v>154.38800000000001</v>
      </c>
      <c r="I72" s="57">
        <f>IFERROR(VLOOKUP($B72,Tipologias!$A$4:$V$8,10,0),"")</f>
        <v>48</v>
      </c>
      <c r="J72" s="57">
        <f>IFERROR(VLOOKUP($B72,Tipologias!$A$4:$V$8,16,0),"")</f>
        <v>233.38800000000001</v>
      </c>
      <c r="K72" s="55" t="s">
        <v>114</v>
      </c>
      <c r="L72" s="55"/>
      <c r="M72" s="58">
        <f>IFERROR(VLOOKUP($B72,Tipologias!$A$4:$V$8,19,0),"")</f>
        <v>0</v>
      </c>
      <c r="N72" s="58">
        <f t="shared" si="1"/>
        <v>0</v>
      </c>
      <c r="O72" s="58"/>
      <c r="P72" s="55"/>
      <c r="Q72" s="61" t="s">
        <v>250</v>
      </c>
      <c r="R72" s="50">
        <v>981.47</v>
      </c>
      <c r="S72" s="51">
        <f>IF(OR($H72="",$I72="",$R72=""),"",$R72*Precios!$B$5+$H72*Precios!$B$6+$I72*Precios!$B$7)</f>
        <v>356381.3</v>
      </c>
      <c r="T72" s="52">
        <f>Precios_v2!L83</f>
        <v>378000</v>
      </c>
    </row>
    <row r="73" spans="1:20" ht="15.75" customHeight="1" x14ac:dyDescent="0.25">
      <c r="A73" s="60" t="s">
        <v>251</v>
      </c>
      <c r="B73" s="54" t="s">
        <v>82</v>
      </c>
      <c r="C73" s="55" t="s">
        <v>252</v>
      </c>
      <c r="D73" s="55">
        <v>1</v>
      </c>
      <c r="E73" s="55" t="s">
        <v>70</v>
      </c>
      <c r="F73" s="56">
        <f>IFERROR(VLOOKUP($B73,Tipologias!$A$4:$V$8,5,0),"")</f>
        <v>2</v>
      </c>
      <c r="G73" s="56">
        <f>IFERROR(VLOOKUP($B73,Tipologias!$A$4:$V$8,6,0),"")</f>
        <v>2</v>
      </c>
      <c r="H73" s="57">
        <f>IFERROR(VLOOKUP($B73,Tipologias!$A$4:$V$8,9,0),"")</f>
        <v>94.789000000000001</v>
      </c>
      <c r="I73" s="57">
        <f>IFERROR(VLOOKUP($B73,Tipologias!$A$4:$V$8,10,0),"")</f>
        <v>83.65</v>
      </c>
      <c r="J73" s="57">
        <f>IFERROR(VLOOKUP($B73,Tipologias!$A$4:$V$8,16,0),"")</f>
        <v>195.56400000000002</v>
      </c>
      <c r="K73" s="55" t="s">
        <v>114</v>
      </c>
      <c r="L73" s="55"/>
      <c r="M73" s="58">
        <f>IFERROR(VLOOKUP($B73,Tipologias!$A$4:$V$8,19,0),"")</f>
        <v>0</v>
      </c>
      <c r="N73" s="58">
        <f t="shared" si="1"/>
        <v>0</v>
      </c>
      <c r="O73" s="58"/>
      <c r="P73" s="55"/>
      <c r="Q73" s="61" t="s">
        <v>253</v>
      </c>
      <c r="R73" s="50">
        <v>690.73</v>
      </c>
      <c r="S73" s="51">
        <f>IF(OR($H73="",$I73="",$R73=""),"",$R73*Precios!$B$5+$H73*Precios!$B$6+$I73*Precios!$B$7)</f>
        <v>259376</v>
      </c>
      <c r="T73" s="52">
        <f>Precios_v2!L84</f>
        <v>263000</v>
      </c>
    </row>
    <row r="74" spans="1:20" ht="15.75" customHeight="1" x14ac:dyDescent="0.25">
      <c r="A74" s="60" t="s">
        <v>254</v>
      </c>
      <c r="B74" s="54" t="s">
        <v>82</v>
      </c>
      <c r="C74" s="55" t="s">
        <v>252</v>
      </c>
      <c r="D74" s="55">
        <v>1</v>
      </c>
      <c r="E74" s="55" t="s">
        <v>70</v>
      </c>
      <c r="F74" s="56">
        <f>IFERROR(VLOOKUP($B74,Tipologias!$A$4:$V$8,5,0),"")</f>
        <v>2</v>
      </c>
      <c r="G74" s="56">
        <f>IFERROR(VLOOKUP($B74,Tipologias!$A$4:$V$8,6,0),"")</f>
        <v>2</v>
      </c>
      <c r="H74" s="57">
        <f>IFERROR(VLOOKUP($B74,Tipologias!$A$4:$V$8,9,0),"")</f>
        <v>94.789000000000001</v>
      </c>
      <c r="I74" s="57">
        <f>IFERROR(VLOOKUP($B74,Tipologias!$A$4:$V$8,10,0),"")</f>
        <v>83.65</v>
      </c>
      <c r="J74" s="57">
        <f>IFERROR(VLOOKUP($B74,Tipologias!$A$4:$V$8,16,0),"")</f>
        <v>195.56400000000002</v>
      </c>
      <c r="K74" s="55" t="s">
        <v>114</v>
      </c>
      <c r="L74" s="55"/>
      <c r="M74" s="58">
        <f>IFERROR(VLOOKUP($B74,Tipologias!$A$4:$V$8,19,0),"")</f>
        <v>0</v>
      </c>
      <c r="N74" s="58">
        <f t="shared" si="1"/>
        <v>0</v>
      </c>
      <c r="O74" s="58"/>
      <c r="P74" s="55"/>
      <c r="Q74" s="61" t="s">
        <v>255</v>
      </c>
      <c r="R74" s="50">
        <v>653.71</v>
      </c>
      <c r="S74" s="51">
        <f>IF(OR($H74="",$I74="",$R74=""),"",$R74*Precios!$B$5+$H74*Precios!$B$6+$I74*Precios!$B$7)</f>
        <v>258265.40000000002</v>
      </c>
      <c r="T74" s="52">
        <f>Precios_v2!L85</f>
        <v>242000</v>
      </c>
    </row>
    <row r="75" spans="1:20" ht="15.75" customHeight="1" x14ac:dyDescent="0.25">
      <c r="A75" s="60" t="s">
        <v>256</v>
      </c>
      <c r="B75" s="54" t="s">
        <v>82</v>
      </c>
      <c r="C75" s="55" t="s">
        <v>252</v>
      </c>
      <c r="D75" s="55">
        <v>1</v>
      </c>
      <c r="E75" s="55" t="s">
        <v>70</v>
      </c>
      <c r="F75" s="56">
        <f>IFERROR(VLOOKUP($B75,Tipologias!$A$4:$V$8,5,0),"")</f>
        <v>2</v>
      </c>
      <c r="G75" s="56">
        <f>IFERROR(VLOOKUP($B75,Tipologias!$A$4:$V$8,6,0),"")</f>
        <v>2</v>
      </c>
      <c r="H75" s="57">
        <f>IFERROR(VLOOKUP($B75,Tipologias!$A$4:$V$8,9,0),"")</f>
        <v>94.789000000000001</v>
      </c>
      <c r="I75" s="57">
        <f>IFERROR(VLOOKUP($B75,Tipologias!$A$4:$V$8,10,0),"")</f>
        <v>83.65</v>
      </c>
      <c r="J75" s="57">
        <f>IFERROR(VLOOKUP($B75,Tipologias!$A$4:$V$8,16,0),"")</f>
        <v>195.56400000000002</v>
      </c>
      <c r="K75" s="55" t="s">
        <v>114</v>
      </c>
      <c r="L75" s="55"/>
      <c r="M75" s="58">
        <f>IFERROR(VLOOKUP($B75,Tipologias!$A$4:$V$8,19,0),"")</f>
        <v>0</v>
      </c>
      <c r="N75" s="58">
        <f t="shared" si="1"/>
        <v>0</v>
      </c>
      <c r="O75" s="58"/>
      <c r="P75" s="55"/>
      <c r="Q75" s="61" t="s">
        <v>257</v>
      </c>
      <c r="R75" s="50">
        <v>710.08</v>
      </c>
      <c r="S75" s="51">
        <f>IF(OR($H75="",$I75="",$R75=""),"",$R75*Precios!$B$5+$H75*Precios!$B$6+$I75*Precios!$B$7)</f>
        <v>259956.5</v>
      </c>
      <c r="T75" s="52">
        <f>Precios_v2!L86</f>
        <v>258000</v>
      </c>
    </row>
    <row r="76" spans="1:20" ht="15.75" customHeight="1" x14ac:dyDescent="0.25">
      <c r="A76" s="60" t="s">
        <v>258</v>
      </c>
      <c r="B76" s="54" t="s">
        <v>82</v>
      </c>
      <c r="C76" s="55" t="s">
        <v>252</v>
      </c>
      <c r="D76" s="55">
        <v>1</v>
      </c>
      <c r="E76" s="55" t="s">
        <v>70</v>
      </c>
      <c r="F76" s="56">
        <f>IFERROR(VLOOKUP($B76,Tipologias!$A$4:$V$8,5,0),"")</f>
        <v>2</v>
      </c>
      <c r="G76" s="56">
        <f>IFERROR(VLOOKUP($B76,Tipologias!$A$4:$V$8,6,0),"")</f>
        <v>2</v>
      </c>
      <c r="H76" s="57">
        <f>IFERROR(VLOOKUP($B76,Tipologias!$A$4:$V$8,9,0),"")</f>
        <v>94.789000000000001</v>
      </c>
      <c r="I76" s="57">
        <f>IFERROR(VLOOKUP($B76,Tipologias!$A$4:$V$8,10,0),"")</f>
        <v>83.65</v>
      </c>
      <c r="J76" s="57">
        <f>IFERROR(VLOOKUP($B76,Tipologias!$A$4:$V$8,16,0),"")</f>
        <v>195.56400000000002</v>
      </c>
      <c r="K76" s="55" t="s">
        <v>114</v>
      </c>
      <c r="L76" s="55"/>
      <c r="M76" s="58">
        <f>IFERROR(VLOOKUP($B76,Tipologias!$A$4:$V$8,19,0),"")</f>
        <v>0</v>
      </c>
      <c r="N76" s="58">
        <f t="shared" si="1"/>
        <v>0</v>
      </c>
      <c r="O76" s="58"/>
      <c r="P76" s="55"/>
      <c r="Q76" s="61" t="s">
        <v>259</v>
      </c>
      <c r="R76" s="50">
        <v>882.73</v>
      </c>
      <c r="S76" s="51">
        <f>IF(OR($H76="",$I76="",$R76=""),"",$R76*Precios!$B$5+$H76*Precios!$B$6+$I76*Precios!$B$7)</f>
        <v>265136</v>
      </c>
      <c r="T76" s="52">
        <f>Precios_v2!L87</f>
        <v>278000</v>
      </c>
    </row>
    <row r="77" spans="1:20" ht="15.75" customHeight="1" x14ac:dyDescent="0.25">
      <c r="A77" s="60" t="s">
        <v>260</v>
      </c>
      <c r="B77" s="54" t="s">
        <v>82</v>
      </c>
      <c r="C77" s="55" t="s">
        <v>252</v>
      </c>
      <c r="D77" s="55">
        <v>1</v>
      </c>
      <c r="E77" s="55" t="s">
        <v>70</v>
      </c>
      <c r="F77" s="56">
        <f>IFERROR(VLOOKUP($B77,Tipologias!$A$4:$V$8,5,0),"")</f>
        <v>2</v>
      </c>
      <c r="G77" s="56">
        <f>IFERROR(VLOOKUP($B77,Tipologias!$A$4:$V$8,6,0),"")</f>
        <v>2</v>
      </c>
      <c r="H77" s="57">
        <f>IFERROR(VLOOKUP($B77,Tipologias!$A$4:$V$8,9,0),"")</f>
        <v>94.789000000000001</v>
      </c>
      <c r="I77" s="57">
        <f>IFERROR(VLOOKUP($B77,Tipologias!$A$4:$V$8,10,0),"")</f>
        <v>83.65</v>
      </c>
      <c r="J77" s="57">
        <f>IFERROR(VLOOKUP($B77,Tipologias!$A$4:$V$8,16,0),"")</f>
        <v>195.56400000000002</v>
      </c>
      <c r="K77" s="55" t="s">
        <v>114</v>
      </c>
      <c r="L77" s="55"/>
      <c r="M77" s="58">
        <f>IFERROR(VLOOKUP($B77,Tipologias!$A$4:$V$8,19,0),"")</f>
        <v>0</v>
      </c>
      <c r="N77" s="58">
        <f t="shared" si="1"/>
        <v>0</v>
      </c>
      <c r="O77" s="58"/>
      <c r="P77" s="55"/>
      <c r="Q77" s="61" t="s">
        <v>261</v>
      </c>
      <c r="R77" s="50">
        <v>735.36</v>
      </c>
      <c r="S77" s="51">
        <f>IF(OR($H77="",$I77="",$R77=""),"",$R77*Precios!$B$5+$H77*Precios!$B$6+$I77*Precios!$B$7)</f>
        <v>260714.9</v>
      </c>
      <c r="T77" s="52">
        <f>Precios_v2!L88</f>
        <v>253000</v>
      </c>
    </row>
    <row r="78" spans="1:20" ht="15.75" customHeight="1" x14ac:dyDescent="0.25">
      <c r="A78" s="60" t="s">
        <v>262</v>
      </c>
      <c r="B78" s="54" t="s">
        <v>82</v>
      </c>
      <c r="C78" s="55" t="s">
        <v>252</v>
      </c>
      <c r="D78" s="55">
        <v>1</v>
      </c>
      <c r="E78" s="55" t="s">
        <v>70</v>
      </c>
      <c r="F78" s="56">
        <f>IFERROR(VLOOKUP($B78,Tipologias!$A$4:$V$8,5,0),"")</f>
        <v>2</v>
      </c>
      <c r="G78" s="56">
        <f>IFERROR(VLOOKUP($B78,Tipologias!$A$4:$V$8,6,0),"")</f>
        <v>2</v>
      </c>
      <c r="H78" s="57">
        <f>IFERROR(VLOOKUP($B78,Tipologias!$A$4:$V$8,9,0),"")</f>
        <v>94.789000000000001</v>
      </c>
      <c r="I78" s="57">
        <f>IFERROR(VLOOKUP($B78,Tipologias!$A$4:$V$8,10,0),"")</f>
        <v>83.65</v>
      </c>
      <c r="J78" s="57">
        <f>IFERROR(VLOOKUP($B78,Tipologias!$A$4:$V$8,16,0),"")</f>
        <v>195.56400000000002</v>
      </c>
      <c r="K78" s="55" t="s">
        <v>114</v>
      </c>
      <c r="L78" s="55"/>
      <c r="M78" s="58">
        <f>IFERROR(VLOOKUP($B78,Tipologias!$A$4:$V$8,19,0),"")</f>
        <v>0</v>
      </c>
      <c r="N78" s="58">
        <f t="shared" si="1"/>
        <v>0</v>
      </c>
      <c r="O78" s="58"/>
      <c r="P78" s="55"/>
      <c r="Q78" s="61" t="s">
        <v>263</v>
      </c>
      <c r="R78" s="50">
        <v>777.66</v>
      </c>
      <c r="S78" s="51">
        <f>IF(OR($H78="",$I78="",$R78=""),"",$R78*Precios!$B$5+$H78*Precios!$B$6+$I78*Precios!$B$7)</f>
        <v>261983.9</v>
      </c>
      <c r="T78" s="52">
        <f>Precios_v2!L89</f>
        <v>262000</v>
      </c>
    </row>
    <row r="79" spans="1:20" ht="15.75" customHeight="1" x14ac:dyDescent="0.25">
      <c r="A79" s="60" t="s">
        <v>264</v>
      </c>
      <c r="B79" s="54" t="s">
        <v>82</v>
      </c>
      <c r="C79" s="55" t="s">
        <v>252</v>
      </c>
      <c r="D79" s="55">
        <v>1</v>
      </c>
      <c r="E79" s="55" t="s">
        <v>70</v>
      </c>
      <c r="F79" s="56">
        <f>IFERROR(VLOOKUP($B79,Tipologias!$A$4:$V$8,5,0),"")</f>
        <v>2</v>
      </c>
      <c r="G79" s="56">
        <f>IFERROR(VLOOKUP($B79,Tipologias!$A$4:$V$8,6,0),"")</f>
        <v>2</v>
      </c>
      <c r="H79" s="57">
        <f>IFERROR(VLOOKUP($B79,Tipologias!$A$4:$V$8,9,0),"")</f>
        <v>94.789000000000001</v>
      </c>
      <c r="I79" s="57">
        <f>IFERROR(VLOOKUP($B79,Tipologias!$A$4:$V$8,10,0),"")</f>
        <v>83.65</v>
      </c>
      <c r="J79" s="57">
        <f>IFERROR(VLOOKUP($B79,Tipologias!$A$4:$V$8,16,0),"")</f>
        <v>195.56400000000002</v>
      </c>
      <c r="K79" s="55" t="s">
        <v>114</v>
      </c>
      <c r="L79" s="55"/>
      <c r="M79" s="58">
        <f>IFERROR(VLOOKUP($B79,Tipologias!$A$4:$V$8,19,0),"")</f>
        <v>0</v>
      </c>
      <c r="N79" s="58">
        <f t="shared" si="1"/>
        <v>0</v>
      </c>
      <c r="O79" s="58"/>
      <c r="P79" s="55"/>
      <c r="Q79" s="61" t="s">
        <v>265</v>
      </c>
      <c r="R79" s="50">
        <v>800.65</v>
      </c>
      <c r="S79" s="51">
        <f>IF(OR($H79="",$I79="",$R79=""),"",$R79*Precios!$B$5+$H79*Precios!$B$6+$I79*Precios!$B$7)</f>
        <v>262673.60000000003</v>
      </c>
      <c r="T79" s="52">
        <f>Precios_v2!L90</f>
        <v>285000</v>
      </c>
    </row>
    <row r="80" spans="1:20" ht="15.75" customHeight="1" x14ac:dyDescent="0.25">
      <c r="A80" s="60" t="s">
        <v>266</v>
      </c>
      <c r="B80" s="54" t="s">
        <v>82</v>
      </c>
      <c r="C80" s="55" t="s">
        <v>252</v>
      </c>
      <c r="D80" s="55">
        <v>1</v>
      </c>
      <c r="E80" s="55" t="s">
        <v>70</v>
      </c>
      <c r="F80" s="56">
        <f>IFERROR(VLOOKUP($B80,Tipologias!$A$4:$V$8,5,0),"")</f>
        <v>2</v>
      </c>
      <c r="G80" s="56">
        <f>IFERROR(VLOOKUP($B80,Tipologias!$A$4:$V$8,6,0),"")</f>
        <v>2</v>
      </c>
      <c r="H80" s="57">
        <f>IFERROR(VLOOKUP($B80,Tipologias!$A$4:$V$8,9,0),"")</f>
        <v>94.789000000000001</v>
      </c>
      <c r="I80" s="57">
        <f>IFERROR(VLOOKUP($B80,Tipologias!$A$4:$V$8,10,0),"")</f>
        <v>83.65</v>
      </c>
      <c r="J80" s="57">
        <f>IFERROR(VLOOKUP($B80,Tipologias!$A$4:$V$8,16,0),"")</f>
        <v>195.56400000000002</v>
      </c>
      <c r="K80" s="55" t="s">
        <v>114</v>
      </c>
      <c r="L80" s="55"/>
      <c r="M80" s="58">
        <f>IFERROR(VLOOKUP($B80,Tipologias!$A$4:$V$8,19,0),"")</f>
        <v>0</v>
      </c>
      <c r="N80" s="58">
        <f t="shared" si="1"/>
        <v>0</v>
      </c>
      <c r="O80" s="58"/>
      <c r="P80" s="55"/>
      <c r="Q80" s="61" t="s">
        <v>267</v>
      </c>
      <c r="R80" s="50">
        <v>815.15</v>
      </c>
      <c r="S80" s="51">
        <f>IF(OR($H80="",$I80="",$R80=""),"",$R80*Precios!$B$5+$H80*Precios!$B$6+$I80*Precios!$B$7)</f>
        <v>263108.60000000003</v>
      </c>
      <c r="T80" s="52">
        <f>Precios_v2!L91</f>
        <v>267000</v>
      </c>
    </row>
    <row r="81" spans="1:20" ht="15.75" customHeight="1" x14ac:dyDescent="0.25">
      <c r="A81" s="60" t="s">
        <v>268</v>
      </c>
      <c r="B81" s="54" t="s">
        <v>82</v>
      </c>
      <c r="C81" s="55" t="s">
        <v>252</v>
      </c>
      <c r="D81" s="55">
        <v>1</v>
      </c>
      <c r="E81" s="55" t="s">
        <v>70</v>
      </c>
      <c r="F81" s="56">
        <f>IFERROR(VLOOKUP($B81,Tipologias!$A$4:$V$8,5,0),"")</f>
        <v>2</v>
      </c>
      <c r="G81" s="56">
        <f>IFERROR(VLOOKUP($B81,Tipologias!$A$4:$V$8,6,0),"")</f>
        <v>2</v>
      </c>
      <c r="H81" s="57">
        <f>IFERROR(VLOOKUP($B81,Tipologias!$A$4:$V$8,9,0),"")</f>
        <v>94.789000000000001</v>
      </c>
      <c r="I81" s="57">
        <f>IFERROR(VLOOKUP($B81,Tipologias!$A$4:$V$8,10,0),"")</f>
        <v>83.65</v>
      </c>
      <c r="J81" s="57">
        <f>IFERROR(VLOOKUP($B81,Tipologias!$A$4:$V$8,16,0),"")</f>
        <v>195.56400000000002</v>
      </c>
      <c r="K81" s="55" t="s">
        <v>114</v>
      </c>
      <c r="L81" s="55"/>
      <c r="M81" s="58">
        <f>IFERROR(VLOOKUP($B81,Tipologias!$A$4:$V$8,19,0),"")</f>
        <v>0</v>
      </c>
      <c r="N81" s="58">
        <f t="shared" si="1"/>
        <v>0</v>
      </c>
      <c r="O81" s="58"/>
      <c r="P81" s="55"/>
      <c r="Q81" s="61" t="s">
        <v>269</v>
      </c>
      <c r="R81" s="50">
        <v>843.39</v>
      </c>
      <c r="S81" s="51">
        <f>IF(OR($H81="",$I81="",$R81=""),"",$R81*Precios!$B$5+$H81*Precios!$B$6+$I81*Precios!$B$7)</f>
        <v>263955.80000000005</v>
      </c>
      <c r="T81" s="52">
        <f>Precios_v2!L92</f>
        <v>268000</v>
      </c>
    </row>
    <row r="82" spans="1:20" ht="15.75" customHeight="1" x14ac:dyDescent="0.25">
      <c r="A82" s="60" t="s">
        <v>270</v>
      </c>
      <c r="B82" s="54" t="s">
        <v>82</v>
      </c>
      <c r="C82" s="55" t="s">
        <v>252</v>
      </c>
      <c r="D82" s="55">
        <v>1</v>
      </c>
      <c r="E82" s="55" t="s">
        <v>70</v>
      </c>
      <c r="F82" s="56">
        <f>IFERROR(VLOOKUP($B82,Tipologias!$A$4:$V$8,5,0),"")</f>
        <v>2</v>
      </c>
      <c r="G82" s="56">
        <f>IFERROR(VLOOKUP($B82,Tipologias!$A$4:$V$8,6,0),"")</f>
        <v>2</v>
      </c>
      <c r="H82" s="57">
        <f>IFERROR(VLOOKUP($B82,Tipologias!$A$4:$V$8,9,0),"")</f>
        <v>94.789000000000001</v>
      </c>
      <c r="I82" s="57">
        <f>IFERROR(VLOOKUP($B82,Tipologias!$A$4:$V$8,10,0),"")</f>
        <v>83.65</v>
      </c>
      <c r="J82" s="57">
        <f>IFERROR(VLOOKUP($B82,Tipologias!$A$4:$V$8,16,0),"")</f>
        <v>195.56400000000002</v>
      </c>
      <c r="K82" s="55" t="s">
        <v>114</v>
      </c>
      <c r="L82" s="55"/>
      <c r="M82" s="58">
        <f>IFERROR(VLOOKUP($B82,Tipologias!$A$4:$V$8,19,0),"")</f>
        <v>0</v>
      </c>
      <c r="N82" s="58">
        <f t="shared" si="1"/>
        <v>0</v>
      </c>
      <c r="O82" s="58"/>
      <c r="P82" s="55"/>
      <c r="Q82" s="61" t="s">
        <v>271</v>
      </c>
      <c r="R82" s="50">
        <v>700.62</v>
      </c>
      <c r="S82" s="51">
        <f>IF(OR($H82="",$I82="",$R82=""),"",$R82*Precios!$B$5+$H82*Precios!$B$6+$I82*Precios!$B$7)</f>
        <v>259672.7</v>
      </c>
      <c r="T82" s="52">
        <f>Precios_v2!L93</f>
        <v>258000</v>
      </c>
    </row>
    <row r="83" spans="1:20" ht="15.75" customHeight="1" x14ac:dyDescent="0.25">
      <c r="A83" s="60" t="s">
        <v>272</v>
      </c>
      <c r="B83" s="54" t="s">
        <v>82</v>
      </c>
      <c r="C83" s="55" t="s">
        <v>252</v>
      </c>
      <c r="D83" s="55">
        <v>1</v>
      </c>
      <c r="E83" s="55" t="s">
        <v>70</v>
      </c>
      <c r="F83" s="56">
        <f>IFERROR(VLOOKUP($B83,Tipologias!$A$4:$V$8,5,0),"")</f>
        <v>2</v>
      </c>
      <c r="G83" s="56">
        <f>IFERROR(VLOOKUP($B83,Tipologias!$A$4:$V$8,6,0),"")</f>
        <v>2</v>
      </c>
      <c r="H83" s="57">
        <f>IFERROR(VLOOKUP($B83,Tipologias!$A$4:$V$8,9,0),"")</f>
        <v>94.789000000000001</v>
      </c>
      <c r="I83" s="57">
        <f>IFERROR(VLOOKUP($B83,Tipologias!$A$4:$V$8,10,0),"")</f>
        <v>83.65</v>
      </c>
      <c r="J83" s="57">
        <f>IFERROR(VLOOKUP($B83,Tipologias!$A$4:$V$8,16,0),"")</f>
        <v>195.56400000000002</v>
      </c>
      <c r="K83" s="55" t="s">
        <v>114</v>
      </c>
      <c r="L83" s="55"/>
      <c r="M83" s="58">
        <f>IFERROR(VLOOKUP($B83,Tipologias!$A$4:$V$8,19,0),"")</f>
        <v>0</v>
      </c>
      <c r="N83" s="58">
        <f t="shared" si="1"/>
        <v>0</v>
      </c>
      <c r="O83" s="58"/>
      <c r="P83" s="55"/>
      <c r="Q83" s="61" t="s">
        <v>273</v>
      </c>
      <c r="R83" s="50">
        <v>889.87</v>
      </c>
      <c r="S83" s="51">
        <f>IF(OR($H83="",$I83="",$R83=""),"",$R83*Precios!$B$5+$H83*Precios!$B$6+$I83*Precios!$B$7)</f>
        <v>265350.2</v>
      </c>
      <c r="T83" s="52">
        <f>Precios_v2!L94</f>
        <v>260000</v>
      </c>
    </row>
    <row r="84" spans="1:20" ht="15.75" customHeight="1" x14ac:dyDescent="0.25">
      <c r="A84" s="60" t="s">
        <v>274</v>
      </c>
      <c r="B84" s="54" t="s">
        <v>82</v>
      </c>
      <c r="C84" s="55" t="s">
        <v>252</v>
      </c>
      <c r="D84" s="55">
        <v>1</v>
      </c>
      <c r="E84" s="55" t="s">
        <v>70</v>
      </c>
      <c r="F84" s="56">
        <f>IFERROR(VLOOKUP($B84,Tipologias!$A$4:$V$8,5,0),"")</f>
        <v>2</v>
      </c>
      <c r="G84" s="56">
        <f>IFERROR(VLOOKUP($B84,Tipologias!$A$4:$V$8,6,0),"")</f>
        <v>2</v>
      </c>
      <c r="H84" s="57">
        <f>IFERROR(VLOOKUP($B84,Tipologias!$A$4:$V$8,9,0),"")</f>
        <v>94.789000000000001</v>
      </c>
      <c r="I84" s="57">
        <f>IFERROR(VLOOKUP($B84,Tipologias!$A$4:$V$8,10,0),"")</f>
        <v>83.65</v>
      </c>
      <c r="J84" s="57">
        <f>IFERROR(VLOOKUP($B84,Tipologias!$A$4:$V$8,16,0),"")</f>
        <v>195.56400000000002</v>
      </c>
      <c r="K84" s="55" t="s">
        <v>114</v>
      </c>
      <c r="L84" s="55"/>
      <c r="M84" s="58">
        <f>IFERROR(VLOOKUP($B84,Tipologias!$A$4:$V$8,19,0),"")</f>
        <v>0</v>
      </c>
      <c r="N84" s="58">
        <f t="shared" si="1"/>
        <v>0</v>
      </c>
      <c r="O84" s="58"/>
      <c r="P84" s="55"/>
      <c r="Q84" s="61" t="s">
        <v>275</v>
      </c>
      <c r="R84" s="50">
        <v>1054.18</v>
      </c>
      <c r="S84" s="51">
        <f>IF(OR($H84="",$I84="",$R84=""),"",$R84*Precios!$B$5+$H84*Precios!$B$6+$I84*Precios!$B$7)</f>
        <v>270279.5</v>
      </c>
      <c r="T84" s="52">
        <f>Precios_v2!L95</f>
        <v>260000</v>
      </c>
    </row>
    <row r="85" spans="1:20" ht="15.75" customHeight="1" x14ac:dyDescent="0.25">
      <c r="A85" s="60" t="s">
        <v>276</v>
      </c>
      <c r="B85" s="54" t="s">
        <v>82</v>
      </c>
      <c r="C85" s="55" t="s">
        <v>252</v>
      </c>
      <c r="D85" s="55">
        <v>1</v>
      </c>
      <c r="E85" s="55" t="s">
        <v>70</v>
      </c>
      <c r="F85" s="56">
        <f>IFERROR(VLOOKUP($B85,Tipologias!$A$4:$V$8,5,0),"")</f>
        <v>2</v>
      </c>
      <c r="G85" s="56">
        <f>IFERROR(VLOOKUP($B85,Tipologias!$A$4:$V$8,6,0),"")</f>
        <v>2</v>
      </c>
      <c r="H85" s="57">
        <f>IFERROR(VLOOKUP($B85,Tipologias!$A$4:$V$8,9,0),"")</f>
        <v>94.789000000000001</v>
      </c>
      <c r="I85" s="57">
        <f>IFERROR(VLOOKUP($B85,Tipologias!$A$4:$V$8,10,0),"")</f>
        <v>83.65</v>
      </c>
      <c r="J85" s="57">
        <f>IFERROR(VLOOKUP($B85,Tipologias!$A$4:$V$8,16,0),"")</f>
        <v>195.56400000000002</v>
      </c>
      <c r="K85" s="55" t="s">
        <v>114</v>
      </c>
      <c r="L85" s="55"/>
      <c r="M85" s="58">
        <f>IFERROR(VLOOKUP($B85,Tipologias!$A$4:$V$8,19,0),"")</f>
        <v>0</v>
      </c>
      <c r="N85" s="58">
        <f t="shared" si="1"/>
        <v>0</v>
      </c>
      <c r="O85" s="58"/>
      <c r="P85" s="55"/>
      <c r="Q85" s="61" t="s">
        <v>277</v>
      </c>
      <c r="R85" s="50">
        <v>776.08</v>
      </c>
      <c r="S85" s="51">
        <f>IF(OR($H85="",$I85="",$R85=""),"",$R85*Precios!$B$5+$H85*Precios!$B$6+$I85*Precios!$B$7)</f>
        <v>261936.5</v>
      </c>
      <c r="T85" s="52">
        <f>Precios_v2!L96</f>
        <v>272000</v>
      </c>
    </row>
    <row r="86" spans="1:20" ht="15.75" customHeight="1" x14ac:dyDescent="0.25">
      <c r="A86" s="60" t="s">
        <v>278</v>
      </c>
      <c r="B86" s="54" t="s">
        <v>82</v>
      </c>
      <c r="C86" s="55" t="s">
        <v>252</v>
      </c>
      <c r="D86" s="55">
        <v>1</v>
      </c>
      <c r="E86" s="55" t="s">
        <v>70</v>
      </c>
      <c r="F86" s="56">
        <f>IFERROR(VLOOKUP($B86,Tipologias!$A$4:$V$8,5,0),"")</f>
        <v>2</v>
      </c>
      <c r="G86" s="56">
        <f>IFERROR(VLOOKUP($B86,Tipologias!$A$4:$V$8,6,0),"")</f>
        <v>2</v>
      </c>
      <c r="H86" s="57">
        <f>IFERROR(VLOOKUP($B86,Tipologias!$A$4:$V$8,9,0),"")</f>
        <v>94.789000000000001</v>
      </c>
      <c r="I86" s="57">
        <f>IFERROR(VLOOKUP($B86,Tipologias!$A$4:$V$8,10,0),"")</f>
        <v>83.65</v>
      </c>
      <c r="J86" s="57">
        <f>IFERROR(VLOOKUP($B86,Tipologias!$A$4:$V$8,16,0),"")</f>
        <v>195.56400000000002</v>
      </c>
      <c r="K86" s="55" t="s">
        <v>114</v>
      </c>
      <c r="L86" s="55"/>
      <c r="M86" s="58">
        <f>IFERROR(VLOOKUP($B86,Tipologias!$A$4:$V$8,19,0),"")</f>
        <v>0</v>
      </c>
      <c r="N86" s="58">
        <f t="shared" si="1"/>
        <v>0</v>
      </c>
      <c r="O86" s="58"/>
      <c r="P86" s="55"/>
      <c r="Q86" s="61" t="s">
        <v>279</v>
      </c>
      <c r="R86" s="50">
        <v>790.16</v>
      </c>
      <c r="S86" s="51">
        <f>IF(OR($H86="",$I86="",$R86=""),"",$R86*Precios!$B$5+$H86*Precios!$B$6+$I86*Precios!$B$7)</f>
        <v>262358.90000000002</v>
      </c>
      <c r="T86" s="52">
        <f>Precios_v2!L97</f>
        <v>277000</v>
      </c>
    </row>
    <row r="87" spans="1:20" ht="15.75" customHeight="1" x14ac:dyDescent="0.25">
      <c r="A87" s="60" t="s">
        <v>280</v>
      </c>
      <c r="B87" s="54" t="s">
        <v>82</v>
      </c>
      <c r="C87" s="55" t="s">
        <v>252</v>
      </c>
      <c r="D87" s="55">
        <v>1</v>
      </c>
      <c r="E87" s="55" t="s">
        <v>70</v>
      </c>
      <c r="F87" s="56">
        <f>IFERROR(VLOOKUP($B87,Tipologias!$A$4:$V$8,5,0),"")</f>
        <v>2</v>
      </c>
      <c r="G87" s="56">
        <f>IFERROR(VLOOKUP($B87,Tipologias!$A$4:$V$8,6,0),"")</f>
        <v>2</v>
      </c>
      <c r="H87" s="57">
        <f>IFERROR(VLOOKUP($B87,Tipologias!$A$4:$V$8,9,0),"")</f>
        <v>94.789000000000001</v>
      </c>
      <c r="I87" s="57">
        <f>IFERROR(VLOOKUP($B87,Tipologias!$A$4:$V$8,10,0),"")</f>
        <v>83.65</v>
      </c>
      <c r="J87" s="57">
        <f>IFERROR(VLOOKUP($B87,Tipologias!$A$4:$V$8,16,0),"")</f>
        <v>195.56400000000002</v>
      </c>
      <c r="K87" s="55" t="s">
        <v>114</v>
      </c>
      <c r="L87" s="55"/>
      <c r="M87" s="58">
        <f>IFERROR(VLOOKUP($B87,Tipologias!$A$4:$V$8,19,0),"")</f>
        <v>0</v>
      </c>
      <c r="N87" s="58">
        <f t="shared" si="1"/>
        <v>0</v>
      </c>
      <c r="O87" s="58"/>
      <c r="P87" s="55"/>
      <c r="Q87" s="61" t="s">
        <v>281</v>
      </c>
      <c r="R87" s="50">
        <v>834.48</v>
      </c>
      <c r="S87" s="51">
        <f>IF(OR($H87="",$I87="",$R87=""),"",$R87*Precios!$B$5+$H87*Precios!$B$6+$I87*Precios!$B$7)</f>
        <v>263688.5</v>
      </c>
      <c r="T87" s="52">
        <f>Precios_v2!L98</f>
        <v>260000</v>
      </c>
    </row>
    <row r="88" spans="1:20" ht="15.75" customHeight="1" x14ac:dyDescent="0.25">
      <c r="A88" s="60" t="s">
        <v>282</v>
      </c>
      <c r="B88" s="54" t="s">
        <v>82</v>
      </c>
      <c r="C88" s="55" t="s">
        <v>252</v>
      </c>
      <c r="D88" s="55">
        <v>1</v>
      </c>
      <c r="E88" s="55" t="s">
        <v>70</v>
      </c>
      <c r="F88" s="56">
        <f>IFERROR(VLOOKUP($B88,Tipologias!$A$4:$V$8,5,0),"")</f>
        <v>2</v>
      </c>
      <c r="G88" s="56">
        <f>IFERROR(VLOOKUP($B88,Tipologias!$A$4:$V$8,6,0),"")</f>
        <v>2</v>
      </c>
      <c r="H88" s="57">
        <f>IFERROR(VLOOKUP($B88,Tipologias!$A$4:$V$8,9,0),"")</f>
        <v>94.789000000000001</v>
      </c>
      <c r="I88" s="57">
        <f>IFERROR(VLOOKUP($B88,Tipologias!$A$4:$V$8,10,0),"")</f>
        <v>83.65</v>
      </c>
      <c r="J88" s="57">
        <f>IFERROR(VLOOKUP($B88,Tipologias!$A$4:$V$8,16,0),"")</f>
        <v>195.56400000000002</v>
      </c>
      <c r="K88" s="55" t="s">
        <v>114</v>
      </c>
      <c r="L88" s="55"/>
      <c r="M88" s="58">
        <f>IFERROR(VLOOKUP($B88,Tipologias!$A$4:$V$8,19,0),"")</f>
        <v>0</v>
      </c>
      <c r="N88" s="58">
        <f t="shared" si="1"/>
        <v>0</v>
      </c>
      <c r="O88" s="58"/>
      <c r="P88" s="55"/>
      <c r="Q88" s="61" t="s">
        <v>283</v>
      </c>
      <c r="R88" s="50">
        <v>907.19</v>
      </c>
      <c r="S88" s="51">
        <f>IF(OR($H88="",$I88="",$R88=""),"",$R88*Precios!$B$5+$H88*Precios!$B$6+$I88*Precios!$B$7)</f>
        <v>265869.80000000005</v>
      </c>
      <c r="T88" s="52">
        <f>Precios_v2!L99</f>
        <v>263000</v>
      </c>
    </row>
    <row r="89" spans="1:20" ht="15.75" customHeight="1" x14ac:dyDescent="0.25">
      <c r="A89" s="60" t="s">
        <v>284</v>
      </c>
      <c r="B89" s="54" t="s">
        <v>82</v>
      </c>
      <c r="C89" s="55" t="s">
        <v>252</v>
      </c>
      <c r="D89" s="55">
        <v>1</v>
      </c>
      <c r="E89" s="55" t="s">
        <v>70</v>
      </c>
      <c r="F89" s="56">
        <f>IFERROR(VLOOKUP($B89,Tipologias!$A$4:$V$8,5,0),"")</f>
        <v>2</v>
      </c>
      <c r="G89" s="56">
        <f>IFERROR(VLOOKUP($B89,Tipologias!$A$4:$V$8,6,0),"")</f>
        <v>2</v>
      </c>
      <c r="H89" s="57">
        <f>IFERROR(VLOOKUP($B89,Tipologias!$A$4:$V$8,9,0),"")</f>
        <v>94.789000000000001</v>
      </c>
      <c r="I89" s="57">
        <f>IFERROR(VLOOKUP($B89,Tipologias!$A$4:$V$8,10,0),"")</f>
        <v>83.65</v>
      </c>
      <c r="J89" s="57">
        <f>IFERROR(VLOOKUP($B89,Tipologias!$A$4:$V$8,16,0),"")</f>
        <v>195.56400000000002</v>
      </c>
      <c r="K89" s="55" t="s">
        <v>114</v>
      </c>
      <c r="L89" s="55"/>
      <c r="M89" s="58">
        <f>IFERROR(VLOOKUP($B89,Tipologias!$A$4:$V$8,19,0),"")</f>
        <v>0</v>
      </c>
      <c r="N89" s="58">
        <f t="shared" si="1"/>
        <v>0</v>
      </c>
      <c r="O89" s="58"/>
      <c r="P89" s="55"/>
      <c r="Q89" s="61" t="s">
        <v>285</v>
      </c>
      <c r="R89" s="50">
        <v>637.13</v>
      </c>
      <c r="S89" s="51">
        <f>IF(OR($H89="",$I89="",$R89=""),"",$R89*Precios!$B$5+$H89*Precios!$B$6+$I89*Precios!$B$7)</f>
        <v>257768</v>
      </c>
      <c r="T89" s="52">
        <f>Precios_v2!L100</f>
        <v>268000</v>
      </c>
    </row>
    <row r="90" spans="1:20" ht="15.75" customHeight="1" x14ac:dyDescent="0.25">
      <c r="A90" s="60" t="s">
        <v>286</v>
      </c>
      <c r="B90" s="54" t="s">
        <v>82</v>
      </c>
      <c r="C90" s="55" t="s">
        <v>252</v>
      </c>
      <c r="D90" s="55">
        <v>1</v>
      </c>
      <c r="E90" s="55" t="s">
        <v>70</v>
      </c>
      <c r="F90" s="56">
        <f>IFERROR(VLOOKUP($B90,Tipologias!$A$4:$V$8,5,0),"")</f>
        <v>2</v>
      </c>
      <c r="G90" s="56">
        <f>IFERROR(VLOOKUP($B90,Tipologias!$A$4:$V$8,6,0),"")</f>
        <v>2</v>
      </c>
      <c r="H90" s="57">
        <f>IFERROR(VLOOKUP($B90,Tipologias!$A$4:$V$8,9,0),"")</f>
        <v>94.789000000000001</v>
      </c>
      <c r="I90" s="57">
        <f>IFERROR(VLOOKUP($B90,Tipologias!$A$4:$V$8,10,0),"")</f>
        <v>83.65</v>
      </c>
      <c r="J90" s="57">
        <f>IFERROR(VLOOKUP($B90,Tipologias!$A$4:$V$8,16,0),"")</f>
        <v>195.56400000000002</v>
      </c>
      <c r="K90" s="55" t="s">
        <v>114</v>
      </c>
      <c r="L90" s="55"/>
      <c r="M90" s="58">
        <f>IFERROR(VLOOKUP($B90,Tipologias!$A$4:$V$8,19,0),"")</f>
        <v>0</v>
      </c>
      <c r="N90" s="58">
        <f t="shared" si="1"/>
        <v>0</v>
      </c>
      <c r="O90" s="58"/>
      <c r="P90" s="55"/>
      <c r="Q90" s="61" t="s">
        <v>287</v>
      </c>
      <c r="R90" s="50">
        <v>531.32000000000005</v>
      </c>
      <c r="S90" s="51">
        <f>IF(OR($H90="",$I90="",$R90=""),"",$R90*Precios!$B$5+$H90*Precios!$B$6+$I90*Precios!$B$7)</f>
        <v>254593.7</v>
      </c>
      <c r="T90" s="52">
        <f>Precios_v2!L101</f>
        <v>275000</v>
      </c>
    </row>
    <row r="91" spans="1:20" ht="15.75" customHeight="1" x14ac:dyDescent="0.25">
      <c r="A91" s="60" t="s">
        <v>288</v>
      </c>
      <c r="B91" s="54" t="s">
        <v>82</v>
      </c>
      <c r="C91" s="55" t="s">
        <v>252</v>
      </c>
      <c r="D91" s="55">
        <v>1</v>
      </c>
      <c r="E91" s="55" t="s">
        <v>70</v>
      </c>
      <c r="F91" s="56">
        <f>IFERROR(VLOOKUP($B91,Tipologias!$A$4:$V$8,5,0),"")</f>
        <v>2</v>
      </c>
      <c r="G91" s="56">
        <f>IFERROR(VLOOKUP($B91,Tipologias!$A$4:$V$8,6,0),"")</f>
        <v>2</v>
      </c>
      <c r="H91" s="57">
        <f>IFERROR(VLOOKUP($B91,Tipologias!$A$4:$V$8,9,0),"")</f>
        <v>94.789000000000001</v>
      </c>
      <c r="I91" s="57">
        <f>IFERROR(VLOOKUP($B91,Tipologias!$A$4:$V$8,10,0),"")</f>
        <v>83.65</v>
      </c>
      <c r="J91" s="57">
        <f>IFERROR(VLOOKUP($B91,Tipologias!$A$4:$V$8,16,0),"")</f>
        <v>195.56400000000002</v>
      </c>
      <c r="K91" s="55" t="s">
        <v>114</v>
      </c>
      <c r="L91" s="55"/>
      <c r="M91" s="58">
        <f>IFERROR(VLOOKUP($B91,Tipologias!$A$4:$V$8,19,0),"")</f>
        <v>0</v>
      </c>
      <c r="N91" s="58">
        <f t="shared" si="1"/>
        <v>0</v>
      </c>
      <c r="O91" s="58"/>
      <c r="P91" s="55"/>
      <c r="Q91" s="61" t="s">
        <v>289</v>
      </c>
      <c r="R91" s="50">
        <v>714.85</v>
      </c>
      <c r="S91" s="51">
        <f>IF(OR($H91="",$I91="",$R91=""),"",$R91*Precios!$B$5+$H91*Precios!$B$6+$I91*Precios!$B$7)</f>
        <v>260099.6</v>
      </c>
      <c r="T91" s="52">
        <f>Precios_v2!L102</f>
        <v>264000</v>
      </c>
    </row>
    <row r="92" spans="1:20" ht="15.75" customHeight="1" x14ac:dyDescent="0.25">
      <c r="A92" s="60" t="s">
        <v>290</v>
      </c>
      <c r="B92" s="54" t="s">
        <v>82</v>
      </c>
      <c r="C92" s="55" t="s">
        <v>252</v>
      </c>
      <c r="D92" s="55">
        <v>1</v>
      </c>
      <c r="E92" s="55" t="s">
        <v>70</v>
      </c>
      <c r="F92" s="56">
        <f>IFERROR(VLOOKUP($B92,Tipologias!$A$4:$V$8,5,0),"")</f>
        <v>2</v>
      </c>
      <c r="G92" s="56">
        <f>IFERROR(VLOOKUP($B92,Tipologias!$A$4:$V$8,6,0),"")</f>
        <v>2</v>
      </c>
      <c r="H92" s="57">
        <f>IFERROR(VLOOKUP($B92,Tipologias!$A$4:$V$8,9,0),"")</f>
        <v>94.789000000000001</v>
      </c>
      <c r="I92" s="57">
        <f>IFERROR(VLOOKUP($B92,Tipologias!$A$4:$V$8,10,0),"")</f>
        <v>83.65</v>
      </c>
      <c r="J92" s="57">
        <f>IFERROR(VLOOKUP($B92,Tipologias!$A$4:$V$8,16,0),"")</f>
        <v>195.56400000000002</v>
      </c>
      <c r="K92" s="55" t="s">
        <v>114</v>
      </c>
      <c r="L92" s="55"/>
      <c r="M92" s="58">
        <f>IFERROR(VLOOKUP($B92,Tipologias!$A$4:$V$8,19,0),"")</f>
        <v>0</v>
      </c>
      <c r="N92" s="58">
        <f t="shared" si="1"/>
        <v>0</v>
      </c>
      <c r="O92" s="58"/>
      <c r="P92" s="55"/>
      <c r="Q92" s="61" t="s">
        <v>291</v>
      </c>
      <c r="R92" s="50">
        <v>605.95000000000005</v>
      </c>
      <c r="S92" s="51">
        <f>IF(OR($H92="",$I92="",$R92=""),"",$R92*Precios!$B$5+$H92*Precios!$B$6+$I92*Precios!$B$7)</f>
        <v>256832.6</v>
      </c>
      <c r="T92" s="52">
        <f>Precios_v2!L103</f>
        <v>255000</v>
      </c>
    </row>
    <row r="93" spans="1:20" ht="15.75" customHeight="1" x14ac:dyDescent="0.25">
      <c r="A93" s="60" t="s">
        <v>292</v>
      </c>
      <c r="B93" s="54" t="s">
        <v>82</v>
      </c>
      <c r="C93" s="55" t="s">
        <v>252</v>
      </c>
      <c r="D93" s="55">
        <v>1</v>
      </c>
      <c r="E93" s="55" t="s">
        <v>70</v>
      </c>
      <c r="F93" s="56">
        <f>IFERROR(VLOOKUP($B93,Tipologias!$A$4:$V$8,5,0),"")</f>
        <v>2</v>
      </c>
      <c r="G93" s="56">
        <f>IFERROR(VLOOKUP($B93,Tipologias!$A$4:$V$8,6,0),"")</f>
        <v>2</v>
      </c>
      <c r="H93" s="57">
        <f>IFERROR(VLOOKUP($B93,Tipologias!$A$4:$V$8,9,0),"")</f>
        <v>94.789000000000001</v>
      </c>
      <c r="I93" s="57">
        <f>IFERROR(VLOOKUP($B93,Tipologias!$A$4:$V$8,10,0),"")</f>
        <v>83.65</v>
      </c>
      <c r="J93" s="57">
        <f>IFERROR(VLOOKUP($B93,Tipologias!$A$4:$V$8,16,0),"")</f>
        <v>195.56400000000002</v>
      </c>
      <c r="K93" s="55" t="s">
        <v>114</v>
      </c>
      <c r="L93" s="55"/>
      <c r="M93" s="58">
        <f>IFERROR(VLOOKUP($B93,Tipologias!$A$4:$V$8,19,0),"")</f>
        <v>0</v>
      </c>
      <c r="N93" s="58">
        <f t="shared" si="1"/>
        <v>0</v>
      </c>
      <c r="O93" s="58"/>
      <c r="P93" s="55"/>
      <c r="Q93" s="61" t="s">
        <v>293</v>
      </c>
      <c r="R93" s="50">
        <v>796.28</v>
      </c>
      <c r="S93" s="51">
        <f>IF(OR($H93="",$I93="",$R93=""),"",$R93*Precios!$B$5+$H93*Precios!$B$6+$I93*Precios!$B$7)</f>
        <v>262542.5</v>
      </c>
      <c r="T93" s="52">
        <f>Precios_v2!L104</f>
        <v>264000</v>
      </c>
    </row>
    <row r="94" spans="1:20" ht="15.75" customHeight="1" x14ac:dyDescent="0.25">
      <c r="A94" s="60" t="s">
        <v>294</v>
      </c>
      <c r="B94" s="54" t="s">
        <v>82</v>
      </c>
      <c r="C94" s="55" t="s">
        <v>252</v>
      </c>
      <c r="D94" s="55">
        <v>1</v>
      </c>
      <c r="E94" s="55" t="s">
        <v>70</v>
      </c>
      <c r="F94" s="56">
        <f>IFERROR(VLOOKUP($B94,Tipologias!$A$4:$V$8,5,0),"")</f>
        <v>2</v>
      </c>
      <c r="G94" s="56">
        <f>IFERROR(VLOOKUP($B94,Tipologias!$A$4:$V$8,6,0),"")</f>
        <v>2</v>
      </c>
      <c r="H94" s="57">
        <f>IFERROR(VLOOKUP($B94,Tipologias!$A$4:$V$8,9,0),"")</f>
        <v>94.789000000000001</v>
      </c>
      <c r="I94" s="57">
        <f>IFERROR(VLOOKUP($B94,Tipologias!$A$4:$V$8,10,0),"")</f>
        <v>83.65</v>
      </c>
      <c r="J94" s="57">
        <f>IFERROR(VLOOKUP($B94,Tipologias!$A$4:$V$8,16,0),"")</f>
        <v>195.56400000000002</v>
      </c>
      <c r="K94" s="55" t="s">
        <v>114</v>
      </c>
      <c r="L94" s="55"/>
      <c r="M94" s="58">
        <f>IFERROR(VLOOKUP($B94,Tipologias!$A$4:$V$8,19,0),"")</f>
        <v>0</v>
      </c>
      <c r="N94" s="58">
        <f t="shared" si="1"/>
        <v>0</v>
      </c>
      <c r="O94" s="58"/>
      <c r="P94" s="55"/>
      <c r="Q94" s="61" t="s">
        <v>295</v>
      </c>
      <c r="R94" s="50">
        <v>701</v>
      </c>
      <c r="S94" s="51">
        <f>IF(OR($H94="",$I94="",$R94=""),"",$R94*Precios!$B$5+$H94*Precios!$B$6+$I94*Precios!$B$7)</f>
        <v>259684.1</v>
      </c>
      <c r="T94" s="52">
        <f>Precios_v2!L105</f>
        <v>268000</v>
      </c>
    </row>
    <row r="95" spans="1:20" ht="15.75" customHeight="1" x14ac:dyDescent="0.25">
      <c r="A95" s="60" t="s">
        <v>296</v>
      </c>
      <c r="B95" s="54" t="s">
        <v>82</v>
      </c>
      <c r="C95" s="55" t="s">
        <v>252</v>
      </c>
      <c r="D95" s="55">
        <v>1</v>
      </c>
      <c r="E95" s="55" t="s">
        <v>70</v>
      </c>
      <c r="F95" s="56">
        <f>IFERROR(VLOOKUP($B95,Tipologias!$A$4:$V$8,5,0),"")</f>
        <v>2</v>
      </c>
      <c r="G95" s="56">
        <f>IFERROR(VLOOKUP($B95,Tipologias!$A$4:$V$8,6,0),"")</f>
        <v>2</v>
      </c>
      <c r="H95" s="57">
        <f>IFERROR(VLOOKUP($B95,Tipologias!$A$4:$V$8,9,0),"")</f>
        <v>94.789000000000001</v>
      </c>
      <c r="I95" s="57">
        <f>IFERROR(VLOOKUP($B95,Tipologias!$A$4:$V$8,10,0),"")</f>
        <v>83.65</v>
      </c>
      <c r="J95" s="57">
        <f>IFERROR(VLOOKUP($B95,Tipologias!$A$4:$V$8,16,0),"")</f>
        <v>195.56400000000002</v>
      </c>
      <c r="K95" s="55" t="s">
        <v>114</v>
      </c>
      <c r="L95" s="55"/>
      <c r="M95" s="58">
        <f>IFERROR(VLOOKUP($B95,Tipologias!$A$4:$V$8,19,0),"")</f>
        <v>0</v>
      </c>
      <c r="N95" s="58">
        <f t="shared" si="1"/>
        <v>0</v>
      </c>
      <c r="O95" s="58"/>
      <c r="P95" s="55"/>
      <c r="Q95" s="61" t="s">
        <v>297</v>
      </c>
      <c r="R95" s="50">
        <v>710.35</v>
      </c>
      <c r="S95" s="51">
        <f>IF(OR($H95="",$I95="",$R95=""),"",$R95*Precios!$B$5+$H95*Precios!$B$6+$I95*Precios!$B$7)</f>
        <v>259964.6</v>
      </c>
      <c r="T95" s="52">
        <f>Precios_v2!L106</f>
        <v>263000</v>
      </c>
    </row>
    <row r="96" spans="1:20" ht="15.75" customHeight="1" x14ac:dyDescent="0.25">
      <c r="A96" s="60" t="s">
        <v>298</v>
      </c>
      <c r="B96" s="54" t="s">
        <v>82</v>
      </c>
      <c r="C96" s="55" t="s">
        <v>252</v>
      </c>
      <c r="D96" s="55">
        <v>1</v>
      </c>
      <c r="E96" s="55" t="s">
        <v>70</v>
      </c>
      <c r="F96" s="56">
        <f>IFERROR(VLOOKUP($B96,Tipologias!$A$4:$V$8,5,0),"")</f>
        <v>2</v>
      </c>
      <c r="G96" s="56">
        <f>IFERROR(VLOOKUP($B96,Tipologias!$A$4:$V$8,6,0),"")</f>
        <v>2</v>
      </c>
      <c r="H96" s="57">
        <f>IFERROR(VLOOKUP($B96,Tipologias!$A$4:$V$8,9,0),"")</f>
        <v>94.789000000000001</v>
      </c>
      <c r="I96" s="57">
        <f>IFERROR(VLOOKUP($B96,Tipologias!$A$4:$V$8,10,0),"")</f>
        <v>83.65</v>
      </c>
      <c r="J96" s="57">
        <f>IFERROR(VLOOKUP($B96,Tipologias!$A$4:$V$8,16,0),"")</f>
        <v>195.56400000000002</v>
      </c>
      <c r="K96" s="55" t="s">
        <v>114</v>
      </c>
      <c r="L96" s="55"/>
      <c r="M96" s="58">
        <f>IFERROR(VLOOKUP($B96,Tipologias!$A$4:$V$8,19,0),"")</f>
        <v>0</v>
      </c>
      <c r="N96" s="58">
        <f t="shared" si="1"/>
        <v>0</v>
      </c>
      <c r="O96" s="58"/>
      <c r="P96" s="55"/>
      <c r="Q96" s="61" t="s">
        <v>299</v>
      </c>
      <c r="R96" s="50">
        <v>730.49</v>
      </c>
      <c r="S96" s="51">
        <f>IF(OR($H96="",$I96="",$R96=""),"",$R96*Precios!$B$5+$H96*Precios!$B$6+$I96*Precios!$B$7)</f>
        <v>260568.80000000002</v>
      </c>
      <c r="T96" s="52">
        <f>Precios_v2!L107</f>
        <v>277000</v>
      </c>
    </row>
    <row r="97" spans="1:20" ht="15.75" customHeight="1" x14ac:dyDescent="0.25">
      <c r="A97" s="60" t="s">
        <v>300</v>
      </c>
      <c r="B97" s="54" t="s">
        <v>82</v>
      </c>
      <c r="C97" s="55" t="s">
        <v>252</v>
      </c>
      <c r="D97" s="55">
        <v>1</v>
      </c>
      <c r="E97" s="55" t="s">
        <v>70</v>
      </c>
      <c r="F97" s="56">
        <f>IFERROR(VLOOKUP($B97,Tipologias!$A$4:$V$8,5,0),"")</f>
        <v>2</v>
      </c>
      <c r="G97" s="56">
        <f>IFERROR(VLOOKUP($B97,Tipologias!$A$4:$V$8,6,0),"")</f>
        <v>2</v>
      </c>
      <c r="H97" s="57">
        <f>IFERROR(VLOOKUP($B97,Tipologias!$A$4:$V$8,9,0),"")</f>
        <v>94.789000000000001</v>
      </c>
      <c r="I97" s="57">
        <f>IFERROR(VLOOKUP($B97,Tipologias!$A$4:$V$8,10,0),"")</f>
        <v>83.65</v>
      </c>
      <c r="J97" s="57">
        <f>IFERROR(VLOOKUP($B97,Tipologias!$A$4:$V$8,16,0),"")</f>
        <v>195.56400000000002</v>
      </c>
      <c r="K97" s="55" t="s">
        <v>114</v>
      </c>
      <c r="L97" s="55"/>
      <c r="M97" s="58">
        <f>IFERROR(VLOOKUP($B97,Tipologias!$A$4:$V$8,19,0),"")</f>
        <v>0</v>
      </c>
      <c r="N97" s="58">
        <f t="shared" si="1"/>
        <v>0</v>
      </c>
      <c r="O97" s="58"/>
      <c r="P97" s="55"/>
      <c r="Q97" s="61" t="s">
        <v>301</v>
      </c>
      <c r="R97" s="50">
        <v>826.59</v>
      </c>
      <c r="S97" s="51">
        <f>IF(OR($H97="",$I97="",$R97=""),"",$R97*Precios!$B$5+$H97*Precios!$B$6+$I97*Precios!$B$7)</f>
        <v>263451.80000000005</v>
      </c>
      <c r="T97" s="52">
        <f>Precios_v2!L108</f>
        <v>283000</v>
      </c>
    </row>
    <row r="98" spans="1:20" ht="15.75" customHeight="1" x14ac:dyDescent="0.25">
      <c r="A98" s="60" t="s">
        <v>302</v>
      </c>
      <c r="B98" s="54" t="s">
        <v>82</v>
      </c>
      <c r="C98" s="55" t="s">
        <v>252</v>
      </c>
      <c r="D98" s="55">
        <v>1</v>
      </c>
      <c r="E98" s="55" t="s">
        <v>70</v>
      </c>
      <c r="F98" s="56">
        <f>IFERROR(VLOOKUP($B98,Tipologias!$A$4:$V$8,5,0),"")</f>
        <v>2</v>
      </c>
      <c r="G98" s="56">
        <f>IFERROR(VLOOKUP($B98,Tipologias!$A$4:$V$8,6,0),"")</f>
        <v>2</v>
      </c>
      <c r="H98" s="57">
        <f>IFERROR(VLOOKUP($B98,Tipologias!$A$4:$V$8,9,0),"")</f>
        <v>94.789000000000001</v>
      </c>
      <c r="I98" s="57">
        <f>IFERROR(VLOOKUP($B98,Tipologias!$A$4:$V$8,10,0),"")</f>
        <v>83.65</v>
      </c>
      <c r="J98" s="57">
        <f>IFERROR(VLOOKUP($B98,Tipologias!$A$4:$V$8,16,0),"")</f>
        <v>195.56400000000002</v>
      </c>
      <c r="K98" s="55" t="s">
        <v>114</v>
      </c>
      <c r="L98" s="55"/>
      <c r="M98" s="58">
        <f>IFERROR(VLOOKUP($B98,Tipologias!$A$4:$V$8,19,0),"")</f>
        <v>0</v>
      </c>
      <c r="N98" s="58">
        <f t="shared" si="1"/>
        <v>0</v>
      </c>
      <c r="O98" s="58"/>
      <c r="P98" s="55"/>
      <c r="Q98" s="61" t="s">
        <v>303</v>
      </c>
      <c r="R98" s="50">
        <v>535.20000000000005</v>
      </c>
      <c r="S98" s="51">
        <f>IF(OR($H98="",$I98="",$R98=""),"",$R98*Precios!$B$5+$H98*Precios!$B$6+$I98*Precios!$B$7)</f>
        <v>254710.1</v>
      </c>
      <c r="T98" s="52">
        <f>Precios_v2!L109</f>
        <v>254000</v>
      </c>
    </row>
    <row r="99" spans="1:20" ht="15.75" customHeight="1" x14ac:dyDescent="0.25">
      <c r="A99" s="60" t="s">
        <v>304</v>
      </c>
      <c r="B99" s="54" t="s">
        <v>82</v>
      </c>
      <c r="C99" s="55" t="s">
        <v>252</v>
      </c>
      <c r="D99" s="55">
        <v>1</v>
      </c>
      <c r="E99" s="55" t="s">
        <v>70</v>
      </c>
      <c r="F99" s="56">
        <f>IFERROR(VLOOKUP($B99,Tipologias!$A$4:$V$8,5,0),"")</f>
        <v>2</v>
      </c>
      <c r="G99" s="56">
        <f>IFERROR(VLOOKUP($B99,Tipologias!$A$4:$V$8,6,0),"")</f>
        <v>2</v>
      </c>
      <c r="H99" s="57">
        <f>IFERROR(VLOOKUP($B99,Tipologias!$A$4:$V$8,9,0),"")</f>
        <v>94.789000000000001</v>
      </c>
      <c r="I99" s="57">
        <f>IFERROR(VLOOKUP($B99,Tipologias!$A$4:$V$8,10,0),"")</f>
        <v>83.65</v>
      </c>
      <c r="J99" s="57">
        <f>IFERROR(VLOOKUP($B99,Tipologias!$A$4:$V$8,16,0),"")</f>
        <v>195.56400000000002</v>
      </c>
      <c r="K99" s="55" t="s">
        <v>114</v>
      </c>
      <c r="L99" s="55"/>
      <c r="M99" s="58">
        <f>IFERROR(VLOOKUP($B99,Tipologias!$A$4:$V$8,19,0),"")</f>
        <v>0</v>
      </c>
      <c r="N99" s="58">
        <f t="shared" si="1"/>
        <v>0</v>
      </c>
      <c r="O99" s="58"/>
      <c r="P99" s="55"/>
      <c r="Q99" s="61" t="s">
        <v>305</v>
      </c>
      <c r="R99" s="50">
        <v>494.22</v>
      </c>
      <c r="S99" s="51">
        <f>IF(OR($H99="",$I99="",$R99=""),"",$R99*Precios!$B$5+$H99*Precios!$B$6+$I99*Precios!$B$7)</f>
        <v>253480.7</v>
      </c>
      <c r="T99" s="52">
        <f>Precios_v2!L110</f>
        <v>249000</v>
      </c>
    </row>
    <row r="100" spans="1:20" ht="15.75" customHeight="1" x14ac:dyDescent="0.25">
      <c r="A100" s="60" t="s">
        <v>306</v>
      </c>
      <c r="B100" s="54" t="s">
        <v>82</v>
      </c>
      <c r="C100" s="55" t="s">
        <v>252</v>
      </c>
      <c r="D100" s="55">
        <v>1</v>
      </c>
      <c r="E100" s="55" t="s">
        <v>70</v>
      </c>
      <c r="F100" s="56">
        <f>IFERROR(VLOOKUP($B100,Tipologias!$A$4:$V$8,5,0),"")</f>
        <v>2</v>
      </c>
      <c r="G100" s="56">
        <f>IFERROR(VLOOKUP($B100,Tipologias!$A$4:$V$8,6,0),"")</f>
        <v>2</v>
      </c>
      <c r="H100" s="57">
        <f>IFERROR(VLOOKUP($B100,Tipologias!$A$4:$V$8,9,0),"")</f>
        <v>94.789000000000001</v>
      </c>
      <c r="I100" s="57">
        <f>IFERROR(VLOOKUP($B100,Tipologias!$A$4:$V$8,10,0),"")</f>
        <v>83.65</v>
      </c>
      <c r="J100" s="57">
        <f>IFERROR(VLOOKUP($B100,Tipologias!$A$4:$V$8,16,0),"")</f>
        <v>195.56400000000002</v>
      </c>
      <c r="K100" s="55" t="s">
        <v>114</v>
      </c>
      <c r="L100" s="55"/>
      <c r="M100" s="58">
        <f>IFERROR(VLOOKUP($B100,Tipologias!$A$4:$V$8,19,0),"")</f>
        <v>0</v>
      </c>
      <c r="N100" s="58">
        <f t="shared" si="1"/>
        <v>0</v>
      </c>
      <c r="O100" s="58"/>
      <c r="P100" s="55"/>
      <c r="Q100" s="61" t="s">
        <v>307</v>
      </c>
      <c r="R100" s="50">
        <v>713.8</v>
      </c>
      <c r="S100" s="51">
        <f>IF(OR($H100="",$I100="",$R100=""),"",$R100*Precios!$B$5+$H100*Precios!$B$6+$I100*Precios!$B$7)</f>
        <v>260068.1</v>
      </c>
      <c r="T100" s="52">
        <f>Precios_v2!L111</f>
        <v>276000</v>
      </c>
    </row>
    <row r="101" spans="1:20" ht="15.75" customHeight="1" x14ac:dyDescent="0.25">
      <c r="A101" s="60" t="s">
        <v>308</v>
      </c>
      <c r="B101" s="54" t="s">
        <v>82</v>
      </c>
      <c r="C101" s="55" t="s">
        <v>252</v>
      </c>
      <c r="D101" s="55">
        <v>1</v>
      </c>
      <c r="E101" s="55" t="s">
        <v>70</v>
      </c>
      <c r="F101" s="56">
        <f>IFERROR(VLOOKUP($B101,Tipologias!$A$4:$V$8,5,0),"")</f>
        <v>2</v>
      </c>
      <c r="G101" s="56">
        <f>IFERROR(VLOOKUP($B101,Tipologias!$A$4:$V$8,6,0),"")</f>
        <v>2</v>
      </c>
      <c r="H101" s="57">
        <f>IFERROR(VLOOKUP($B101,Tipologias!$A$4:$V$8,9,0),"")</f>
        <v>94.789000000000001</v>
      </c>
      <c r="I101" s="57">
        <f>IFERROR(VLOOKUP($B101,Tipologias!$A$4:$V$8,10,0),"")</f>
        <v>83.65</v>
      </c>
      <c r="J101" s="57">
        <f>IFERROR(VLOOKUP($B101,Tipologias!$A$4:$V$8,16,0),"")</f>
        <v>195.56400000000002</v>
      </c>
      <c r="K101" s="55" t="s">
        <v>114</v>
      </c>
      <c r="L101" s="55"/>
      <c r="M101" s="58">
        <f>IFERROR(VLOOKUP($B101,Tipologias!$A$4:$V$8,19,0),"")</f>
        <v>0</v>
      </c>
      <c r="N101" s="58">
        <f t="shared" si="1"/>
        <v>0</v>
      </c>
      <c r="O101" s="58"/>
      <c r="P101" s="55"/>
      <c r="Q101" s="61" t="s">
        <v>309</v>
      </c>
      <c r="R101" s="50">
        <v>685.11</v>
      </c>
      <c r="S101" s="51">
        <f>IF(OR($H101="",$I101="",$R101=""),"",$R101*Precios!$B$5+$H101*Precios!$B$6+$I101*Precios!$B$7)</f>
        <v>259207.4</v>
      </c>
      <c r="T101" s="52">
        <f>Precios_v2!L112</f>
        <v>279000</v>
      </c>
    </row>
    <row r="102" spans="1:20" ht="15.75" customHeight="1" x14ac:dyDescent="0.25">
      <c r="A102" s="60" t="s">
        <v>310</v>
      </c>
      <c r="B102" s="54" t="s">
        <v>82</v>
      </c>
      <c r="C102" s="55" t="s">
        <v>252</v>
      </c>
      <c r="D102" s="55">
        <v>1</v>
      </c>
      <c r="E102" s="55" t="s">
        <v>70</v>
      </c>
      <c r="F102" s="56">
        <f>IFERROR(VLOOKUP($B102,Tipologias!$A$4:$V$8,5,0),"")</f>
        <v>2</v>
      </c>
      <c r="G102" s="56">
        <f>IFERROR(VLOOKUP($B102,Tipologias!$A$4:$V$8,6,0),"")</f>
        <v>2</v>
      </c>
      <c r="H102" s="57">
        <f>IFERROR(VLOOKUP($B102,Tipologias!$A$4:$V$8,9,0),"")</f>
        <v>94.789000000000001</v>
      </c>
      <c r="I102" s="57">
        <f>IFERROR(VLOOKUP($B102,Tipologias!$A$4:$V$8,10,0),"")</f>
        <v>83.65</v>
      </c>
      <c r="J102" s="57">
        <f>IFERROR(VLOOKUP($B102,Tipologias!$A$4:$V$8,16,0),"")</f>
        <v>195.56400000000002</v>
      </c>
      <c r="K102" s="55" t="s">
        <v>114</v>
      </c>
      <c r="L102" s="55"/>
      <c r="M102" s="58">
        <f>IFERROR(VLOOKUP($B102,Tipologias!$A$4:$V$8,19,0),"")</f>
        <v>0</v>
      </c>
      <c r="N102" s="58">
        <f t="shared" si="1"/>
        <v>0</v>
      </c>
      <c r="O102" s="58"/>
      <c r="P102" s="55"/>
      <c r="Q102" s="61" t="s">
        <v>311</v>
      </c>
      <c r="R102" s="50">
        <v>637.11</v>
      </c>
      <c r="S102" s="51">
        <f>IF(OR($H102="",$I102="",$R102=""),"",$R102*Precios!$B$5+$H102*Precios!$B$6+$I102*Precios!$B$7)</f>
        <v>257767.4</v>
      </c>
      <c r="T102" s="52">
        <f>Precios_v2!L113</f>
        <v>260000</v>
      </c>
    </row>
    <row r="103" spans="1:20" ht="15.75" customHeight="1" x14ac:dyDescent="0.25">
      <c r="A103" s="60" t="s">
        <v>312</v>
      </c>
      <c r="B103" s="54" t="s">
        <v>82</v>
      </c>
      <c r="C103" s="55" t="s">
        <v>252</v>
      </c>
      <c r="D103" s="55">
        <v>1</v>
      </c>
      <c r="E103" s="55" t="s">
        <v>70</v>
      </c>
      <c r="F103" s="56">
        <f>IFERROR(VLOOKUP($B103,Tipologias!$A$4:$V$8,5,0),"")</f>
        <v>2</v>
      </c>
      <c r="G103" s="56">
        <f>IFERROR(VLOOKUP($B103,Tipologias!$A$4:$V$8,6,0),"")</f>
        <v>2</v>
      </c>
      <c r="H103" s="57">
        <f>IFERROR(VLOOKUP($B103,Tipologias!$A$4:$V$8,9,0),"")</f>
        <v>94.789000000000001</v>
      </c>
      <c r="I103" s="57">
        <f>IFERROR(VLOOKUP($B103,Tipologias!$A$4:$V$8,10,0),"")</f>
        <v>83.65</v>
      </c>
      <c r="J103" s="57">
        <f>IFERROR(VLOOKUP($B103,Tipologias!$A$4:$V$8,16,0),"")</f>
        <v>195.56400000000002</v>
      </c>
      <c r="K103" s="55" t="s">
        <v>114</v>
      </c>
      <c r="L103" s="55"/>
      <c r="M103" s="58">
        <f>IFERROR(VLOOKUP($B103,Tipologias!$A$4:$V$8,19,0),"")</f>
        <v>0</v>
      </c>
      <c r="N103" s="58">
        <f t="shared" si="1"/>
        <v>0</v>
      </c>
      <c r="O103" s="58"/>
      <c r="P103" s="55"/>
      <c r="Q103" s="61" t="s">
        <v>313</v>
      </c>
      <c r="R103" s="50">
        <v>696.59</v>
      </c>
      <c r="S103" s="51">
        <f>IF(OR($H103="",$I103="",$R103=""),"",$R103*Precios!$B$5+$H103*Precios!$B$6+$I103*Precios!$B$7)</f>
        <v>259551.80000000002</v>
      </c>
      <c r="T103" s="52">
        <f>Precios_v2!L114</f>
        <v>276000</v>
      </c>
    </row>
    <row r="104" spans="1:20" ht="15.75" customHeight="1" x14ac:dyDescent="0.25">
      <c r="A104" s="60" t="s">
        <v>314</v>
      </c>
      <c r="B104" s="54" t="s">
        <v>82</v>
      </c>
      <c r="C104" s="55" t="s">
        <v>252</v>
      </c>
      <c r="D104" s="55">
        <v>1</v>
      </c>
      <c r="E104" s="55" t="s">
        <v>70</v>
      </c>
      <c r="F104" s="56">
        <f>IFERROR(VLOOKUP($B104,Tipologias!$A$4:$V$8,5,0),"")</f>
        <v>2</v>
      </c>
      <c r="G104" s="56">
        <f>IFERROR(VLOOKUP($B104,Tipologias!$A$4:$V$8,6,0),"")</f>
        <v>2</v>
      </c>
      <c r="H104" s="57">
        <f>IFERROR(VLOOKUP($B104,Tipologias!$A$4:$V$8,9,0),"")</f>
        <v>94.789000000000001</v>
      </c>
      <c r="I104" s="57">
        <f>IFERROR(VLOOKUP($B104,Tipologias!$A$4:$V$8,10,0),"")</f>
        <v>83.65</v>
      </c>
      <c r="J104" s="57">
        <f>IFERROR(VLOOKUP($B104,Tipologias!$A$4:$V$8,16,0),"")</f>
        <v>195.56400000000002</v>
      </c>
      <c r="K104" s="55" t="s">
        <v>114</v>
      </c>
      <c r="L104" s="55"/>
      <c r="M104" s="58">
        <f>IFERROR(VLOOKUP($B104,Tipologias!$A$4:$V$8,19,0),"")</f>
        <v>0</v>
      </c>
      <c r="N104" s="58">
        <f t="shared" si="1"/>
        <v>0</v>
      </c>
      <c r="O104" s="58"/>
      <c r="P104" s="55"/>
      <c r="Q104" s="61" t="s">
        <v>315</v>
      </c>
      <c r="R104" s="50">
        <v>1016.94</v>
      </c>
      <c r="S104" s="51">
        <f>IF(OR($H104="",$I104="",$R104=""),"",$R104*Precios!$B$5+$H104*Precios!$B$6+$I104*Precios!$B$7)</f>
        <v>269162.30000000005</v>
      </c>
      <c r="T104" s="52">
        <f>Precios_v2!L115</f>
        <v>280000</v>
      </c>
    </row>
    <row r="105" spans="1:20" ht="15.75" customHeight="1" x14ac:dyDescent="0.25">
      <c r="A105" s="60" t="s">
        <v>316</v>
      </c>
      <c r="B105" s="54" t="s">
        <v>82</v>
      </c>
      <c r="C105" s="55" t="s">
        <v>252</v>
      </c>
      <c r="D105" s="55">
        <v>1</v>
      </c>
      <c r="E105" s="55" t="s">
        <v>70</v>
      </c>
      <c r="F105" s="56">
        <f>IFERROR(VLOOKUP($B105,Tipologias!$A$4:$V$8,5,0),"")</f>
        <v>2</v>
      </c>
      <c r="G105" s="56">
        <f>IFERROR(VLOOKUP($B105,Tipologias!$A$4:$V$8,6,0),"")</f>
        <v>2</v>
      </c>
      <c r="H105" s="57">
        <f>IFERROR(VLOOKUP($B105,Tipologias!$A$4:$V$8,9,0),"")</f>
        <v>94.789000000000001</v>
      </c>
      <c r="I105" s="57">
        <f>IFERROR(VLOOKUP($B105,Tipologias!$A$4:$V$8,10,0),"")</f>
        <v>83.65</v>
      </c>
      <c r="J105" s="57">
        <f>IFERROR(VLOOKUP($B105,Tipologias!$A$4:$V$8,16,0),"")</f>
        <v>195.56400000000002</v>
      </c>
      <c r="K105" s="55" t="s">
        <v>114</v>
      </c>
      <c r="L105" s="55"/>
      <c r="M105" s="58">
        <f>IFERROR(VLOOKUP($B105,Tipologias!$A$4:$V$8,19,0),"")</f>
        <v>0</v>
      </c>
      <c r="N105" s="58">
        <f t="shared" si="1"/>
        <v>0</v>
      </c>
      <c r="O105" s="58"/>
      <c r="P105" s="55"/>
      <c r="Q105" s="61" t="s">
        <v>317</v>
      </c>
      <c r="R105" s="50">
        <v>793.18</v>
      </c>
      <c r="S105" s="51">
        <f>IF(OR($H105="",$I105="",$R105=""),"",$R105*Precios!$B$5+$H105*Precios!$B$6+$I105*Precios!$B$7)</f>
        <v>262449.5</v>
      </c>
      <c r="T105" s="52">
        <f>Precios_v2!L116</f>
        <v>288000</v>
      </c>
    </row>
    <row r="106" spans="1:20" ht="15.75" customHeight="1" x14ac:dyDescent="0.25">
      <c r="A106" s="60" t="s">
        <v>318</v>
      </c>
      <c r="B106" s="54" t="s">
        <v>82</v>
      </c>
      <c r="C106" s="55" t="s">
        <v>252</v>
      </c>
      <c r="D106" s="55">
        <v>1</v>
      </c>
      <c r="E106" s="55" t="s">
        <v>70</v>
      </c>
      <c r="F106" s="56">
        <f>IFERROR(VLOOKUP($B106,Tipologias!$A$4:$V$8,5,0),"")</f>
        <v>2</v>
      </c>
      <c r="G106" s="56">
        <f>IFERROR(VLOOKUP($B106,Tipologias!$A$4:$V$8,6,0),"")</f>
        <v>2</v>
      </c>
      <c r="H106" s="57">
        <f>IFERROR(VLOOKUP($B106,Tipologias!$A$4:$V$8,9,0),"")</f>
        <v>94.789000000000001</v>
      </c>
      <c r="I106" s="57">
        <f>IFERROR(VLOOKUP($B106,Tipologias!$A$4:$V$8,10,0),"")</f>
        <v>83.65</v>
      </c>
      <c r="J106" s="57">
        <f>IFERROR(VLOOKUP($B106,Tipologias!$A$4:$V$8,16,0),"")</f>
        <v>195.56400000000002</v>
      </c>
      <c r="K106" s="55" t="s">
        <v>114</v>
      </c>
      <c r="L106" s="55"/>
      <c r="M106" s="58">
        <f>IFERROR(VLOOKUP($B106,Tipologias!$A$4:$V$8,19,0),"")</f>
        <v>0</v>
      </c>
      <c r="N106" s="58">
        <f t="shared" si="1"/>
        <v>0</v>
      </c>
      <c r="O106" s="58"/>
      <c r="P106" s="55"/>
      <c r="Q106" s="61" t="s">
        <v>319</v>
      </c>
      <c r="R106" s="50">
        <v>732.55</v>
      </c>
      <c r="S106" s="51">
        <f>IF(OR($H106="",$I106="",$R106=""),"",$R106*Precios!$B$5+$H106*Precios!$B$6+$I106*Precios!$B$7)</f>
        <v>260630.6</v>
      </c>
      <c r="T106" s="52">
        <f>Precios_v2!L117</f>
        <v>269000</v>
      </c>
    </row>
    <row r="107" spans="1:20" ht="15.75" customHeight="1" x14ac:dyDescent="0.25">
      <c r="A107" s="60" t="s">
        <v>320</v>
      </c>
      <c r="B107" s="54" t="s">
        <v>82</v>
      </c>
      <c r="C107" s="55" t="s">
        <v>252</v>
      </c>
      <c r="D107" s="55">
        <v>1</v>
      </c>
      <c r="E107" s="55" t="s">
        <v>70</v>
      </c>
      <c r="F107" s="56">
        <f>IFERROR(VLOOKUP($B107,Tipologias!$A$4:$V$8,5,0),"")</f>
        <v>2</v>
      </c>
      <c r="G107" s="56">
        <f>IFERROR(VLOOKUP($B107,Tipologias!$A$4:$V$8,6,0),"")</f>
        <v>2</v>
      </c>
      <c r="H107" s="57">
        <f>IFERROR(VLOOKUP($B107,Tipologias!$A$4:$V$8,9,0),"")</f>
        <v>94.789000000000001</v>
      </c>
      <c r="I107" s="57">
        <f>IFERROR(VLOOKUP($B107,Tipologias!$A$4:$V$8,10,0),"")</f>
        <v>83.65</v>
      </c>
      <c r="J107" s="57">
        <f>IFERROR(VLOOKUP($B107,Tipologias!$A$4:$V$8,16,0),"")</f>
        <v>195.56400000000002</v>
      </c>
      <c r="K107" s="55" t="s">
        <v>114</v>
      </c>
      <c r="L107" s="55"/>
      <c r="M107" s="58">
        <f>IFERROR(VLOOKUP($B107,Tipologias!$A$4:$V$8,19,0),"")</f>
        <v>0</v>
      </c>
      <c r="N107" s="58">
        <f t="shared" si="1"/>
        <v>0</v>
      </c>
      <c r="O107" s="58"/>
      <c r="P107" s="55"/>
      <c r="Q107" s="61" t="s">
        <v>321</v>
      </c>
      <c r="R107" s="50">
        <v>796.67</v>
      </c>
      <c r="S107" s="51">
        <f>IF(OR($H107="",$I107="",$R107=""),"",$R107*Precios!$B$5+$H107*Precios!$B$6+$I107*Precios!$B$7)</f>
        <v>262554.2</v>
      </c>
      <c r="T107" s="52">
        <f>Precios_v2!L118</f>
        <v>265000</v>
      </c>
    </row>
    <row r="108" spans="1:20" ht="15.75" customHeight="1" x14ac:dyDescent="0.25">
      <c r="A108" s="60" t="s">
        <v>322</v>
      </c>
      <c r="B108" s="54" t="s">
        <v>82</v>
      </c>
      <c r="C108" s="55" t="s">
        <v>252</v>
      </c>
      <c r="D108" s="55">
        <v>1</v>
      </c>
      <c r="E108" s="55" t="s">
        <v>70</v>
      </c>
      <c r="F108" s="56">
        <f>IFERROR(VLOOKUP($B108,Tipologias!$A$4:$V$8,5,0),"")</f>
        <v>2</v>
      </c>
      <c r="G108" s="56">
        <f>IFERROR(VLOOKUP($B108,Tipologias!$A$4:$V$8,6,0),"")</f>
        <v>2</v>
      </c>
      <c r="H108" s="57">
        <f>IFERROR(VLOOKUP($B108,Tipologias!$A$4:$V$8,9,0),"")</f>
        <v>94.789000000000001</v>
      </c>
      <c r="I108" s="57">
        <f>IFERROR(VLOOKUP($B108,Tipologias!$A$4:$V$8,10,0),"")</f>
        <v>83.65</v>
      </c>
      <c r="J108" s="57">
        <f>IFERROR(VLOOKUP($B108,Tipologias!$A$4:$V$8,16,0),"")</f>
        <v>195.56400000000002</v>
      </c>
      <c r="K108" s="55" t="s">
        <v>114</v>
      </c>
      <c r="L108" s="55"/>
      <c r="M108" s="58">
        <f>IFERROR(VLOOKUP($B108,Tipologias!$A$4:$V$8,19,0),"")</f>
        <v>0</v>
      </c>
      <c r="N108" s="58">
        <f t="shared" si="1"/>
        <v>0</v>
      </c>
      <c r="O108" s="58"/>
      <c r="P108" s="55"/>
      <c r="Q108" s="61" t="s">
        <v>323</v>
      </c>
      <c r="R108" s="50">
        <v>645.54</v>
      </c>
      <c r="S108" s="51">
        <f>IF(OR($H108="",$I108="",$R108=""),"",$R108*Precios!$B$5+$H108*Precios!$B$6+$I108*Precios!$B$7)</f>
        <v>258020.3</v>
      </c>
      <c r="T108" s="52">
        <f>Precios_v2!L119</f>
        <v>281000</v>
      </c>
    </row>
    <row r="109" spans="1:20" ht="15.75" customHeight="1" x14ac:dyDescent="0.25">
      <c r="A109" s="60" t="s">
        <v>324</v>
      </c>
      <c r="B109" s="54" t="s">
        <v>82</v>
      </c>
      <c r="C109" s="55" t="s">
        <v>252</v>
      </c>
      <c r="D109" s="55">
        <v>1</v>
      </c>
      <c r="E109" s="55" t="s">
        <v>70</v>
      </c>
      <c r="F109" s="56">
        <f>IFERROR(VLOOKUP($B109,Tipologias!$A$4:$V$8,5,0),"")</f>
        <v>2</v>
      </c>
      <c r="G109" s="56">
        <f>IFERROR(VLOOKUP($B109,Tipologias!$A$4:$V$8,6,0),"")</f>
        <v>2</v>
      </c>
      <c r="H109" s="57">
        <f>IFERROR(VLOOKUP($B109,Tipologias!$A$4:$V$8,9,0),"")</f>
        <v>94.789000000000001</v>
      </c>
      <c r="I109" s="57">
        <f>IFERROR(VLOOKUP($B109,Tipologias!$A$4:$V$8,10,0),"")</f>
        <v>83.65</v>
      </c>
      <c r="J109" s="57">
        <f>IFERROR(VLOOKUP($B109,Tipologias!$A$4:$V$8,16,0),"")</f>
        <v>195.56400000000002</v>
      </c>
      <c r="K109" s="55" t="s">
        <v>114</v>
      </c>
      <c r="L109" s="55"/>
      <c r="M109" s="58">
        <f>IFERROR(VLOOKUP($B109,Tipologias!$A$4:$V$8,19,0),"")</f>
        <v>0</v>
      </c>
      <c r="N109" s="58">
        <f t="shared" si="1"/>
        <v>0</v>
      </c>
      <c r="O109" s="58"/>
      <c r="P109" s="55"/>
      <c r="Q109" s="61" t="s">
        <v>325</v>
      </c>
      <c r="R109" s="50">
        <v>704.2</v>
      </c>
      <c r="S109" s="51">
        <f>IF(OR($H109="",$I109="",$R109=""),"",$R109*Precios!$B$5+$H109*Precios!$B$6+$I109*Precios!$B$7)</f>
        <v>259780.1</v>
      </c>
      <c r="T109" s="52">
        <f>Precios_v2!L120</f>
        <v>245000</v>
      </c>
    </row>
    <row r="110" spans="1:20" ht="15.75" customHeight="1" x14ac:dyDescent="0.25">
      <c r="A110" s="60" t="s">
        <v>326</v>
      </c>
      <c r="B110" s="54" t="s">
        <v>82</v>
      </c>
      <c r="C110" s="55" t="s">
        <v>252</v>
      </c>
      <c r="D110" s="55">
        <v>1</v>
      </c>
      <c r="E110" s="55" t="s">
        <v>70</v>
      </c>
      <c r="F110" s="56">
        <f>IFERROR(VLOOKUP($B110,Tipologias!$A$4:$V$8,5,0),"")</f>
        <v>2</v>
      </c>
      <c r="G110" s="56">
        <f>IFERROR(VLOOKUP($B110,Tipologias!$A$4:$V$8,6,0),"")</f>
        <v>2</v>
      </c>
      <c r="H110" s="57">
        <f>IFERROR(VLOOKUP($B110,Tipologias!$A$4:$V$8,9,0),"")</f>
        <v>94.789000000000001</v>
      </c>
      <c r="I110" s="57">
        <f>IFERROR(VLOOKUP($B110,Tipologias!$A$4:$V$8,10,0),"")</f>
        <v>83.65</v>
      </c>
      <c r="J110" s="57">
        <f>IFERROR(VLOOKUP($B110,Tipologias!$A$4:$V$8,16,0),"")</f>
        <v>195.56400000000002</v>
      </c>
      <c r="K110" s="55" t="s">
        <v>114</v>
      </c>
      <c r="L110" s="55"/>
      <c r="M110" s="58">
        <f>IFERROR(VLOOKUP($B110,Tipologias!$A$4:$V$8,19,0),"")</f>
        <v>0</v>
      </c>
      <c r="N110" s="58">
        <f t="shared" si="1"/>
        <v>0</v>
      </c>
      <c r="O110" s="58"/>
      <c r="P110" s="55"/>
      <c r="Q110" s="61" t="s">
        <v>327</v>
      </c>
      <c r="R110" s="50">
        <v>753.9</v>
      </c>
      <c r="S110" s="51">
        <f>IF(OR($H110="",$I110="",$R110=""),"",$R110*Precios!$B$5+$H110*Precios!$B$6+$I110*Precios!$B$7)</f>
        <v>261271.1</v>
      </c>
      <c r="T110" s="52">
        <f>Precios_v2!L121</f>
        <v>264000</v>
      </c>
    </row>
    <row r="111" spans="1:20" ht="15.75" customHeight="1" x14ac:dyDescent="0.25">
      <c r="A111" s="60" t="s">
        <v>328</v>
      </c>
      <c r="B111" s="54" t="s">
        <v>82</v>
      </c>
      <c r="C111" s="55" t="s">
        <v>252</v>
      </c>
      <c r="D111" s="55">
        <v>1</v>
      </c>
      <c r="E111" s="55" t="s">
        <v>70</v>
      </c>
      <c r="F111" s="56">
        <f>IFERROR(VLOOKUP($B111,Tipologias!$A$4:$V$8,5,0),"")</f>
        <v>2</v>
      </c>
      <c r="G111" s="56">
        <f>IFERROR(VLOOKUP($B111,Tipologias!$A$4:$V$8,6,0),"")</f>
        <v>2</v>
      </c>
      <c r="H111" s="57">
        <f>IFERROR(VLOOKUP($B111,Tipologias!$A$4:$V$8,9,0),"")</f>
        <v>94.789000000000001</v>
      </c>
      <c r="I111" s="57">
        <f>IFERROR(VLOOKUP($B111,Tipologias!$A$4:$V$8,10,0),"")</f>
        <v>83.65</v>
      </c>
      <c r="J111" s="57">
        <f>IFERROR(VLOOKUP($B111,Tipologias!$A$4:$V$8,16,0),"")</f>
        <v>195.56400000000002</v>
      </c>
      <c r="K111" s="55" t="s">
        <v>114</v>
      </c>
      <c r="L111" s="55"/>
      <c r="M111" s="58">
        <f>IFERROR(VLOOKUP($B111,Tipologias!$A$4:$V$8,19,0),"")</f>
        <v>0</v>
      </c>
      <c r="N111" s="58">
        <f t="shared" si="1"/>
        <v>0</v>
      </c>
      <c r="O111" s="58"/>
      <c r="P111" s="55"/>
      <c r="Q111" s="61" t="s">
        <v>329</v>
      </c>
      <c r="R111" s="50">
        <v>957.95</v>
      </c>
      <c r="S111" s="51">
        <f>IF(OR($H111="",$I111="",$R111=""),"",$R111*Precios!$B$5+$H111*Precios!$B$6+$I111*Precios!$B$7)</f>
        <v>267392.60000000003</v>
      </c>
      <c r="T111" s="52">
        <f>Precios_v2!L122</f>
        <v>279000</v>
      </c>
    </row>
    <row r="112" spans="1:20" ht="15.75" customHeight="1" x14ac:dyDescent="0.25">
      <c r="A112" s="60" t="s">
        <v>330</v>
      </c>
      <c r="B112" s="54" t="s">
        <v>82</v>
      </c>
      <c r="C112" s="55" t="s">
        <v>252</v>
      </c>
      <c r="D112" s="55">
        <v>1</v>
      </c>
      <c r="E112" s="55" t="s">
        <v>70</v>
      </c>
      <c r="F112" s="56">
        <f>IFERROR(VLOOKUP($B112,Tipologias!$A$4:$V$8,5,0),"")</f>
        <v>2</v>
      </c>
      <c r="G112" s="56">
        <f>IFERROR(VLOOKUP($B112,Tipologias!$A$4:$V$8,6,0),"")</f>
        <v>2</v>
      </c>
      <c r="H112" s="57">
        <f>IFERROR(VLOOKUP($B112,Tipologias!$A$4:$V$8,9,0),"")</f>
        <v>94.789000000000001</v>
      </c>
      <c r="I112" s="57">
        <f>IFERROR(VLOOKUP($B112,Tipologias!$A$4:$V$8,10,0),"")</f>
        <v>83.65</v>
      </c>
      <c r="J112" s="57">
        <f>IFERROR(VLOOKUP($B112,Tipologias!$A$4:$V$8,16,0),"")</f>
        <v>195.56400000000002</v>
      </c>
      <c r="K112" s="55" t="s">
        <v>114</v>
      </c>
      <c r="L112" s="55"/>
      <c r="M112" s="58">
        <f>IFERROR(VLOOKUP($B112,Tipologias!$A$4:$V$8,19,0),"")</f>
        <v>0</v>
      </c>
      <c r="N112" s="58">
        <f t="shared" si="1"/>
        <v>0</v>
      </c>
      <c r="O112" s="58"/>
      <c r="P112" s="55"/>
      <c r="Q112" s="61" t="s">
        <v>331</v>
      </c>
      <c r="R112" s="50">
        <v>646.22</v>
      </c>
      <c r="S112" s="51">
        <f>IF(OR($H112="",$I112="",$R112=""),"",$R112*Precios!$B$5+$H112*Precios!$B$6+$I112*Precios!$B$7)</f>
        <v>258040.7</v>
      </c>
      <c r="T112" s="52">
        <f>Precios_v2!L123</f>
        <v>255000</v>
      </c>
    </row>
    <row r="113" spans="1:20" ht="15.75" customHeight="1" x14ac:dyDescent="0.25">
      <c r="A113" s="60" t="s">
        <v>332</v>
      </c>
      <c r="B113" s="54" t="s">
        <v>82</v>
      </c>
      <c r="C113" s="55" t="s">
        <v>252</v>
      </c>
      <c r="D113" s="55">
        <v>1</v>
      </c>
      <c r="E113" s="55" t="s">
        <v>70</v>
      </c>
      <c r="F113" s="56">
        <f>IFERROR(VLOOKUP($B113,Tipologias!$A$4:$V$8,5,0),"")</f>
        <v>2</v>
      </c>
      <c r="G113" s="56">
        <f>IFERROR(VLOOKUP($B113,Tipologias!$A$4:$V$8,6,0),"")</f>
        <v>2</v>
      </c>
      <c r="H113" s="57">
        <f>IFERROR(VLOOKUP($B113,Tipologias!$A$4:$V$8,9,0),"")</f>
        <v>94.789000000000001</v>
      </c>
      <c r="I113" s="57">
        <f>IFERROR(VLOOKUP($B113,Tipologias!$A$4:$V$8,10,0),"")</f>
        <v>83.65</v>
      </c>
      <c r="J113" s="57">
        <f>IFERROR(VLOOKUP($B113,Tipologias!$A$4:$V$8,16,0),"")</f>
        <v>195.56400000000002</v>
      </c>
      <c r="K113" s="55" t="s">
        <v>114</v>
      </c>
      <c r="L113" s="55"/>
      <c r="M113" s="58">
        <f>IFERROR(VLOOKUP($B113,Tipologias!$A$4:$V$8,19,0),"")</f>
        <v>0</v>
      </c>
      <c r="N113" s="58">
        <f t="shared" si="1"/>
        <v>0</v>
      </c>
      <c r="O113" s="58"/>
      <c r="P113" s="55"/>
      <c r="Q113" s="61" t="s">
        <v>333</v>
      </c>
      <c r="R113" s="50">
        <v>604.61</v>
      </c>
      <c r="S113" s="51">
        <f>IF(OR($H113="",$I113="",$R113=""),"",$R113*Precios!$B$5+$H113*Precios!$B$6+$I113*Precios!$B$7)</f>
        <v>256792.4</v>
      </c>
      <c r="T113" s="52">
        <f>Precios_v2!L124</f>
        <v>285000</v>
      </c>
    </row>
    <row r="114" spans="1:20" ht="15.75" customHeight="1" x14ac:dyDescent="0.25">
      <c r="A114" s="60" t="s">
        <v>334</v>
      </c>
      <c r="B114" s="54" t="s">
        <v>82</v>
      </c>
      <c r="C114" s="55" t="s">
        <v>252</v>
      </c>
      <c r="D114" s="55">
        <v>1</v>
      </c>
      <c r="E114" s="55" t="s">
        <v>70</v>
      </c>
      <c r="F114" s="56">
        <f>IFERROR(VLOOKUP($B114,Tipologias!$A$4:$V$8,5,0),"")</f>
        <v>2</v>
      </c>
      <c r="G114" s="56">
        <f>IFERROR(VLOOKUP($B114,Tipologias!$A$4:$V$8,6,0),"")</f>
        <v>2</v>
      </c>
      <c r="H114" s="57">
        <f>IFERROR(VLOOKUP($B114,Tipologias!$A$4:$V$8,9,0),"")</f>
        <v>94.789000000000001</v>
      </c>
      <c r="I114" s="57">
        <f>IFERROR(VLOOKUP($B114,Tipologias!$A$4:$V$8,10,0),"")</f>
        <v>83.65</v>
      </c>
      <c r="J114" s="57">
        <f>IFERROR(VLOOKUP($B114,Tipologias!$A$4:$V$8,16,0),"")</f>
        <v>195.56400000000002</v>
      </c>
      <c r="K114" s="55" t="s">
        <v>114</v>
      </c>
      <c r="L114" s="55"/>
      <c r="M114" s="58">
        <f>IFERROR(VLOOKUP($B114,Tipologias!$A$4:$V$8,19,0),"")</f>
        <v>0</v>
      </c>
      <c r="N114" s="58">
        <f t="shared" si="1"/>
        <v>0</v>
      </c>
      <c r="O114" s="58"/>
      <c r="P114" s="55"/>
      <c r="Q114" s="61" t="s">
        <v>335</v>
      </c>
      <c r="R114" s="50">
        <v>569.86</v>
      </c>
      <c r="S114" s="51">
        <f>IF(OR($H114="",$I114="",$R114=""),"",$R114*Precios!$B$5+$H114*Precios!$B$6+$I114*Precios!$B$7)</f>
        <v>255749.9</v>
      </c>
      <c r="T114" s="52">
        <f>Precios_v2!L125</f>
        <v>262000</v>
      </c>
    </row>
    <row r="115" spans="1:20" ht="15.75" customHeight="1" x14ac:dyDescent="0.25">
      <c r="A115" s="60" t="s">
        <v>336</v>
      </c>
      <c r="B115" s="54" t="s">
        <v>82</v>
      </c>
      <c r="C115" s="55" t="s">
        <v>252</v>
      </c>
      <c r="D115" s="55">
        <v>1</v>
      </c>
      <c r="E115" s="55" t="s">
        <v>70</v>
      </c>
      <c r="F115" s="56">
        <f>IFERROR(VLOOKUP($B115,Tipologias!$A$4:$V$8,5,0),"")</f>
        <v>2</v>
      </c>
      <c r="G115" s="56">
        <f>IFERROR(VLOOKUP($B115,Tipologias!$A$4:$V$8,6,0),"")</f>
        <v>2</v>
      </c>
      <c r="H115" s="57">
        <f>IFERROR(VLOOKUP($B115,Tipologias!$A$4:$V$8,9,0),"")</f>
        <v>94.789000000000001</v>
      </c>
      <c r="I115" s="57">
        <f>IFERROR(VLOOKUP($B115,Tipologias!$A$4:$V$8,10,0),"")</f>
        <v>83.65</v>
      </c>
      <c r="J115" s="57">
        <f>IFERROR(VLOOKUP($B115,Tipologias!$A$4:$V$8,16,0),"")</f>
        <v>195.56400000000002</v>
      </c>
      <c r="K115" s="55" t="s">
        <v>114</v>
      </c>
      <c r="L115" s="55"/>
      <c r="M115" s="58">
        <f>IFERROR(VLOOKUP($B115,Tipologias!$A$4:$V$8,19,0),"")</f>
        <v>0</v>
      </c>
      <c r="N115" s="58">
        <f t="shared" si="1"/>
        <v>0</v>
      </c>
      <c r="O115" s="58"/>
      <c r="P115" s="55"/>
      <c r="Q115" s="61" t="s">
        <v>337</v>
      </c>
      <c r="R115" s="50">
        <v>569.03</v>
      </c>
      <c r="S115" s="51">
        <f>IF(OR($H115="",$I115="",$R115=""),"",$R115*Precios!$B$5+$H115*Precios!$B$6+$I115*Precios!$B$7)</f>
        <v>255725</v>
      </c>
      <c r="T115" s="52">
        <f>Precios_v2!L126</f>
        <v>275000</v>
      </c>
    </row>
    <row r="116" spans="1:20" ht="15.75" customHeight="1" x14ac:dyDescent="0.25">
      <c r="A116" s="60" t="s">
        <v>338</v>
      </c>
      <c r="B116" s="54" t="s">
        <v>82</v>
      </c>
      <c r="C116" s="55" t="s">
        <v>252</v>
      </c>
      <c r="D116" s="55">
        <v>1</v>
      </c>
      <c r="E116" s="55" t="s">
        <v>70</v>
      </c>
      <c r="F116" s="56">
        <f>IFERROR(VLOOKUP($B116,Tipologias!$A$4:$V$8,5,0),"")</f>
        <v>2</v>
      </c>
      <c r="G116" s="56">
        <f>IFERROR(VLOOKUP($B116,Tipologias!$A$4:$V$8,6,0),"")</f>
        <v>2</v>
      </c>
      <c r="H116" s="57">
        <f>IFERROR(VLOOKUP($B116,Tipologias!$A$4:$V$8,9,0),"")</f>
        <v>94.789000000000001</v>
      </c>
      <c r="I116" s="57">
        <f>IFERROR(VLOOKUP($B116,Tipologias!$A$4:$V$8,10,0),"")</f>
        <v>83.65</v>
      </c>
      <c r="J116" s="57">
        <f>IFERROR(VLOOKUP($B116,Tipologias!$A$4:$V$8,16,0),"")</f>
        <v>195.56400000000002</v>
      </c>
      <c r="K116" s="55" t="s">
        <v>114</v>
      </c>
      <c r="L116" s="55"/>
      <c r="M116" s="58">
        <f>IFERROR(VLOOKUP($B116,Tipologias!$A$4:$V$8,19,0),"")</f>
        <v>0</v>
      </c>
      <c r="N116" s="58">
        <f t="shared" si="1"/>
        <v>0</v>
      </c>
      <c r="O116" s="58"/>
      <c r="P116" s="55"/>
      <c r="Q116" s="61" t="s">
        <v>339</v>
      </c>
      <c r="R116" s="50">
        <v>696.56</v>
      </c>
      <c r="S116" s="51">
        <f>IF(OR($H116="",$I116="",$R116=""),"",$R116*Precios!$B$5+$H116*Precios!$B$6+$I116*Precios!$B$7)</f>
        <v>259550.9</v>
      </c>
      <c r="T116" s="52">
        <f>Precios_v2!L127</f>
        <v>261000</v>
      </c>
    </row>
    <row r="117" spans="1:20" ht="15.75" customHeight="1" x14ac:dyDescent="0.25">
      <c r="A117" s="60" t="s">
        <v>340</v>
      </c>
      <c r="B117" s="54" t="s">
        <v>82</v>
      </c>
      <c r="C117" s="55" t="s">
        <v>252</v>
      </c>
      <c r="D117" s="55">
        <v>1</v>
      </c>
      <c r="E117" s="55" t="s">
        <v>70</v>
      </c>
      <c r="F117" s="56">
        <f>IFERROR(VLOOKUP($B117,Tipologias!$A$4:$V$8,5,0),"")</f>
        <v>2</v>
      </c>
      <c r="G117" s="56">
        <f>IFERROR(VLOOKUP($B117,Tipologias!$A$4:$V$8,6,0),"")</f>
        <v>2</v>
      </c>
      <c r="H117" s="57">
        <f>IFERROR(VLOOKUP($B117,Tipologias!$A$4:$V$8,9,0),"")</f>
        <v>94.789000000000001</v>
      </c>
      <c r="I117" s="57">
        <f>IFERROR(VLOOKUP($B117,Tipologias!$A$4:$V$8,10,0),"")</f>
        <v>83.65</v>
      </c>
      <c r="J117" s="57">
        <f>IFERROR(VLOOKUP($B117,Tipologias!$A$4:$V$8,16,0),"")</f>
        <v>195.56400000000002</v>
      </c>
      <c r="K117" s="55" t="s">
        <v>114</v>
      </c>
      <c r="L117" s="55"/>
      <c r="M117" s="58">
        <f>IFERROR(VLOOKUP($B117,Tipologias!$A$4:$V$8,19,0),"")</f>
        <v>0</v>
      </c>
      <c r="N117" s="58">
        <f t="shared" si="1"/>
        <v>0</v>
      </c>
      <c r="O117" s="58"/>
      <c r="P117" s="55"/>
      <c r="Q117" s="61" t="s">
        <v>341</v>
      </c>
      <c r="R117" s="50">
        <v>568.07000000000005</v>
      </c>
      <c r="S117" s="51">
        <f>IF(OR($H117="",$I117="",$R117=""),"",$R117*Precios!$B$5+$H117*Precios!$B$6+$I117*Precios!$B$7)</f>
        <v>255696.2</v>
      </c>
      <c r="T117" s="52">
        <f>Precios_v2!L128</f>
        <v>252000</v>
      </c>
    </row>
    <row r="118" spans="1:20" ht="15.75" customHeight="1" x14ac:dyDescent="0.25">
      <c r="A118" s="60" t="s">
        <v>342</v>
      </c>
      <c r="B118" s="54" t="s">
        <v>82</v>
      </c>
      <c r="C118" s="55" t="s">
        <v>252</v>
      </c>
      <c r="D118" s="55">
        <v>1</v>
      </c>
      <c r="E118" s="55" t="s">
        <v>70</v>
      </c>
      <c r="F118" s="56">
        <f>IFERROR(VLOOKUP($B118,Tipologias!$A$4:$V$8,5,0),"")</f>
        <v>2</v>
      </c>
      <c r="G118" s="56">
        <f>IFERROR(VLOOKUP($B118,Tipologias!$A$4:$V$8,6,0),"")</f>
        <v>2</v>
      </c>
      <c r="H118" s="57">
        <f>IFERROR(VLOOKUP($B118,Tipologias!$A$4:$V$8,9,0),"")</f>
        <v>94.789000000000001</v>
      </c>
      <c r="I118" s="57">
        <f>IFERROR(VLOOKUP($B118,Tipologias!$A$4:$V$8,10,0),"")</f>
        <v>83.65</v>
      </c>
      <c r="J118" s="57">
        <f>IFERROR(VLOOKUP($B118,Tipologias!$A$4:$V$8,16,0),"")</f>
        <v>195.56400000000002</v>
      </c>
      <c r="K118" s="55" t="s">
        <v>114</v>
      </c>
      <c r="L118" s="55"/>
      <c r="M118" s="58">
        <f>IFERROR(VLOOKUP($B118,Tipologias!$A$4:$V$8,19,0),"")</f>
        <v>0</v>
      </c>
      <c r="N118" s="58">
        <f t="shared" si="1"/>
        <v>0</v>
      </c>
      <c r="O118" s="58"/>
      <c r="P118" s="55"/>
      <c r="Q118" s="61" t="s">
        <v>343</v>
      </c>
      <c r="R118" s="50">
        <v>694.45</v>
      </c>
      <c r="S118" s="51">
        <f>IF(OR($H118="",$I118="",$R118=""),"",$R118*Precios!$B$5+$H118*Precios!$B$6+$I118*Precios!$B$7)</f>
        <v>259487.6</v>
      </c>
      <c r="T118" s="52">
        <f>Precios_v2!L129</f>
        <v>279000</v>
      </c>
    </row>
    <row r="119" spans="1:20" ht="15.75" customHeight="1" x14ac:dyDescent="0.25">
      <c r="A119" s="60" t="s">
        <v>344</v>
      </c>
      <c r="B119" s="54" t="s">
        <v>82</v>
      </c>
      <c r="C119" s="55" t="s">
        <v>252</v>
      </c>
      <c r="D119" s="55">
        <v>1</v>
      </c>
      <c r="E119" s="55" t="s">
        <v>70</v>
      </c>
      <c r="F119" s="56">
        <f>IFERROR(VLOOKUP($B119,Tipologias!$A$4:$V$8,5,0),"")</f>
        <v>2</v>
      </c>
      <c r="G119" s="56">
        <f>IFERROR(VLOOKUP($B119,Tipologias!$A$4:$V$8,6,0),"")</f>
        <v>2</v>
      </c>
      <c r="H119" s="57">
        <f>IFERROR(VLOOKUP($B119,Tipologias!$A$4:$V$8,9,0),"")</f>
        <v>94.789000000000001</v>
      </c>
      <c r="I119" s="57">
        <f>IFERROR(VLOOKUP($B119,Tipologias!$A$4:$V$8,10,0),"")</f>
        <v>83.65</v>
      </c>
      <c r="J119" s="57">
        <f>IFERROR(VLOOKUP($B119,Tipologias!$A$4:$V$8,16,0),"")</f>
        <v>195.56400000000002</v>
      </c>
      <c r="K119" s="55" t="s">
        <v>114</v>
      </c>
      <c r="L119" s="55"/>
      <c r="M119" s="58">
        <f>IFERROR(VLOOKUP($B119,Tipologias!$A$4:$V$8,19,0),"")</f>
        <v>0</v>
      </c>
      <c r="N119" s="58">
        <f t="shared" si="1"/>
        <v>0</v>
      </c>
      <c r="O119" s="58"/>
      <c r="P119" s="55"/>
      <c r="Q119" s="61" t="s">
        <v>345</v>
      </c>
      <c r="R119" s="50">
        <v>713.87</v>
      </c>
      <c r="S119" s="51">
        <f>IF(OR($H119="",$I119="",$R119=""),"",$R119*Precios!$B$5+$H119*Precios!$B$6+$I119*Precios!$B$7)</f>
        <v>260070.2</v>
      </c>
      <c r="T119" s="52">
        <f>Precios_v2!L130</f>
        <v>261000</v>
      </c>
    </row>
    <row r="120" spans="1:20" ht="15.75" customHeight="1" x14ac:dyDescent="0.25">
      <c r="A120" s="60" t="s">
        <v>346</v>
      </c>
      <c r="B120" s="54" t="s">
        <v>82</v>
      </c>
      <c r="C120" s="55" t="s">
        <v>252</v>
      </c>
      <c r="D120" s="55">
        <v>1</v>
      </c>
      <c r="E120" s="55" t="s">
        <v>70</v>
      </c>
      <c r="F120" s="56">
        <f>IFERROR(VLOOKUP($B120,Tipologias!$A$4:$V$8,5,0),"")</f>
        <v>2</v>
      </c>
      <c r="G120" s="56">
        <f>IFERROR(VLOOKUP($B120,Tipologias!$A$4:$V$8,6,0),"")</f>
        <v>2</v>
      </c>
      <c r="H120" s="57">
        <f>IFERROR(VLOOKUP($B120,Tipologias!$A$4:$V$8,9,0),"")</f>
        <v>94.789000000000001</v>
      </c>
      <c r="I120" s="57">
        <f>IFERROR(VLOOKUP($B120,Tipologias!$A$4:$V$8,10,0),"")</f>
        <v>83.65</v>
      </c>
      <c r="J120" s="57">
        <f>IFERROR(VLOOKUP($B120,Tipologias!$A$4:$V$8,16,0),"")</f>
        <v>195.56400000000002</v>
      </c>
      <c r="K120" s="55" t="s">
        <v>114</v>
      </c>
      <c r="L120" s="55"/>
      <c r="M120" s="58">
        <f>IFERROR(VLOOKUP($B120,Tipologias!$A$4:$V$8,19,0),"")</f>
        <v>0</v>
      </c>
      <c r="N120" s="58">
        <f t="shared" si="1"/>
        <v>0</v>
      </c>
      <c r="O120" s="58"/>
      <c r="P120" s="55"/>
      <c r="Q120" s="61" t="s">
        <v>347</v>
      </c>
      <c r="R120" s="50">
        <v>803.22</v>
      </c>
      <c r="S120" s="51">
        <f>IF(OR($H120="",$I120="",$R120=""),"",$R120*Precios!$B$5+$H120*Precios!$B$6+$I120*Precios!$B$7)</f>
        <v>262750.7</v>
      </c>
      <c r="T120" s="52">
        <f>Precios_v2!L131</f>
        <v>254000</v>
      </c>
    </row>
    <row r="121" spans="1:20" ht="15.75" customHeight="1" x14ac:dyDescent="0.25">
      <c r="A121" s="60" t="s">
        <v>348</v>
      </c>
      <c r="B121" s="54" t="s">
        <v>82</v>
      </c>
      <c r="C121" s="55" t="s">
        <v>252</v>
      </c>
      <c r="D121" s="55">
        <v>1</v>
      </c>
      <c r="E121" s="55" t="s">
        <v>70</v>
      </c>
      <c r="F121" s="56">
        <f>IFERROR(VLOOKUP($B121,Tipologias!$A$4:$V$8,5,0),"")</f>
        <v>2</v>
      </c>
      <c r="G121" s="56">
        <f>IFERROR(VLOOKUP($B121,Tipologias!$A$4:$V$8,6,0),"")</f>
        <v>2</v>
      </c>
      <c r="H121" s="57">
        <f>IFERROR(VLOOKUP($B121,Tipologias!$A$4:$V$8,9,0),"")</f>
        <v>94.789000000000001</v>
      </c>
      <c r="I121" s="57">
        <f>IFERROR(VLOOKUP($B121,Tipologias!$A$4:$V$8,10,0),"")</f>
        <v>83.65</v>
      </c>
      <c r="J121" s="57">
        <f>IFERROR(VLOOKUP($B121,Tipologias!$A$4:$V$8,16,0),"")</f>
        <v>195.56400000000002</v>
      </c>
      <c r="K121" s="55" t="s">
        <v>114</v>
      </c>
      <c r="L121" s="55"/>
      <c r="M121" s="58">
        <f>IFERROR(VLOOKUP($B121,Tipologias!$A$4:$V$8,19,0),"")</f>
        <v>0</v>
      </c>
      <c r="N121" s="58">
        <f t="shared" si="1"/>
        <v>0</v>
      </c>
      <c r="O121" s="58"/>
      <c r="P121" s="55"/>
      <c r="Q121" s="61" t="s">
        <v>349</v>
      </c>
      <c r="R121" s="50">
        <v>724.28</v>
      </c>
      <c r="S121" s="51">
        <f>IF(OR($H121="",$I121="",$R121=""),"",$R121*Precios!$B$5+$H121*Precios!$B$6+$I121*Precios!$B$7)</f>
        <v>260382.5</v>
      </c>
      <c r="T121" s="52">
        <f>Precios_v2!L132</f>
        <v>261000</v>
      </c>
    </row>
    <row r="122" spans="1:20" ht="15.75" customHeight="1" x14ac:dyDescent="0.25">
      <c r="A122" s="60" t="s">
        <v>350</v>
      </c>
      <c r="B122" s="54" t="s">
        <v>82</v>
      </c>
      <c r="C122" s="55" t="s">
        <v>252</v>
      </c>
      <c r="D122" s="55">
        <v>1</v>
      </c>
      <c r="E122" s="55" t="s">
        <v>70</v>
      </c>
      <c r="F122" s="56">
        <f>IFERROR(VLOOKUP($B122,Tipologias!$A$4:$V$8,5,0),"")</f>
        <v>2</v>
      </c>
      <c r="G122" s="56">
        <f>IFERROR(VLOOKUP($B122,Tipologias!$A$4:$V$8,6,0),"")</f>
        <v>2</v>
      </c>
      <c r="H122" s="57">
        <f>IFERROR(VLOOKUP($B122,Tipologias!$A$4:$V$8,9,0),"")</f>
        <v>94.789000000000001</v>
      </c>
      <c r="I122" s="57">
        <f>IFERROR(VLOOKUP($B122,Tipologias!$A$4:$V$8,10,0),"")</f>
        <v>83.65</v>
      </c>
      <c r="J122" s="57">
        <f>IFERROR(VLOOKUP($B122,Tipologias!$A$4:$V$8,16,0),"")</f>
        <v>195.56400000000002</v>
      </c>
      <c r="K122" s="55" t="s">
        <v>114</v>
      </c>
      <c r="L122" s="55"/>
      <c r="M122" s="58">
        <f>IFERROR(VLOOKUP($B122,Tipologias!$A$4:$V$8,19,0),"")</f>
        <v>0</v>
      </c>
      <c r="N122" s="58">
        <f t="shared" si="1"/>
        <v>0</v>
      </c>
      <c r="O122" s="58"/>
      <c r="P122" s="55"/>
      <c r="Q122" s="61" t="s">
        <v>351</v>
      </c>
      <c r="R122" s="50">
        <v>643.52</v>
      </c>
      <c r="S122" s="51">
        <f>IF(OR($H122="",$I122="",$R122=""),"",$R122*Precios!$B$5+$H122*Precios!$B$6+$I122*Precios!$B$7)</f>
        <v>257959.7</v>
      </c>
      <c r="T122" s="52">
        <f>Precios_v2!L133</f>
        <v>263000</v>
      </c>
    </row>
    <row r="123" spans="1:20" ht="15.75" customHeight="1" x14ac:dyDescent="0.25">
      <c r="A123" s="60" t="s">
        <v>352</v>
      </c>
      <c r="B123" s="54" t="s">
        <v>82</v>
      </c>
      <c r="C123" s="55" t="s">
        <v>252</v>
      </c>
      <c r="D123" s="55">
        <v>1</v>
      </c>
      <c r="E123" s="55" t="s">
        <v>70</v>
      </c>
      <c r="F123" s="56">
        <f>IFERROR(VLOOKUP($B123,Tipologias!$A$4:$V$8,5,0),"")</f>
        <v>2</v>
      </c>
      <c r="G123" s="56">
        <f>IFERROR(VLOOKUP($B123,Tipologias!$A$4:$V$8,6,0),"")</f>
        <v>2</v>
      </c>
      <c r="H123" s="57">
        <f>IFERROR(VLOOKUP($B123,Tipologias!$A$4:$V$8,9,0),"")</f>
        <v>94.789000000000001</v>
      </c>
      <c r="I123" s="57">
        <f>IFERROR(VLOOKUP($B123,Tipologias!$A$4:$V$8,10,0),"")</f>
        <v>83.65</v>
      </c>
      <c r="J123" s="57">
        <f>IFERROR(VLOOKUP($B123,Tipologias!$A$4:$V$8,16,0),"")</f>
        <v>195.56400000000002</v>
      </c>
      <c r="K123" s="55" t="s">
        <v>114</v>
      </c>
      <c r="L123" s="55"/>
      <c r="M123" s="58">
        <f>IFERROR(VLOOKUP($B123,Tipologias!$A$4:$V$8,19,0),"")</f>
        <v>0</v>
      </c>
      <c r="N123" s="58">
        <f t="shared" si="1"/>
        <v>0</v>
      </c>
      <c r="O123" s="58"/>
      <c r="P123" s="55"/>
      <c r="Q123" s="61" t="s">
        <v>353</v>
      </c>
      <c r="R123" s="50">
        <v>609.52</v>
      </c>
      <c r="S123" s="51">
        <f>IF(OR($H123="",$I123="",$R123=""),"",$R123*Precios!$B$5+$H123*Precios!$B$6+$I123*Precios!$B$7)</f>
        <v>256939.7</v>
      </c>
      <c r="T123" s="52">
        <f>Precios_v2!L134</f>
        <v>273000</v>
      </c>
    </row>
    <row r="124" spans="1:20" ht="15.75" customHeight="1" x14ac:dyDescent="0.25">
      <c r="A124" s="60" t="s">
        <v>354</v>
      </c>
      <c r="B124" s="54" t="s">
        <v>82</v>
      </c>
      <c r="C124" s="55" t="s">
        <v>252</v>
      </c>
      <c r="D124" s="55">
        <v>1</v>
      </c>
      <c r="E124" s="55" t="s">
        <v>70</v>
      </c>
      <c r="F124" s="56">
        <f>IFERROR(VLOOKUP($B124,Tipologias!$A$4:$V$8,5,0),"")</f>
        <v>2</v>
      </c>
      <c r="G124" s="56">
        <f>IFERROR(VLOOKUP($B124,Tipologias!$A$4:$V$8,6,0),"")</f>
        <v>2</v>
      </c>
      <c r="H124" s="57">
        <f>IFERROR(VLOOKUP($B124,Tipologias!$A$4:$V$8,9,0),"")</f>
        <v>94.789000000000001</v>
      </c>
      <c r="I124" s="57">
        <f>IFERROR(VLOOKUP($B124,Tipologias!$A$4:$V$8,10,0),"")</f>
        <v>83.65</v>
      </c>
      <c r="J124" s="57">
        <f>IFERROR(VLOOKUP($B124,Tipologias!$A$4:$V$8,16,0),"")</f>
        <v>195.56400000000002</v>
      </c>
      <c r="K124" s="55" t="s">
        <v>114</v>
      </c>
      <c r="L124" s="55"/>
      <c r="M124" s="58">
        <f>IFERROR(VLOOKUP($B124,Tipologias!$A$4:$V$8,19,0),"")</f>
        <v>0</v>
      </c>
      <c r="N124" s="58">
        <f t="shared" si="1"/>
        <v>0</v>
      </c>
      <c r="O124" s="58"/>
      <c r="P124" s="55"/>
      <c r="Q124" s="61" t="s">
        <v>355</v>
      </c>
      <c r="R124" s="50">
        <v>762.03</v>
      </c>
      <c r="S124" s="51">
        <f>IF(OR($H124="",$I124="",$R124=""),"",$R124*Precios!$B$5+$H124*Precios!$B$6+$I124*Precios!$B$7)</f>
        <v>261515</v>
      </c>
      <c r="T124" s="52">
        <f>Precios_v2!L135</f>
        <v>259000</v>
      </c>
    </row>
    <row r="125" spans="1:20" ht="15.75" customHeight="1" x14ac:dyDescent="0.25">
      <c r="A125" s="60" t="s">
        <v>356</v>
      </c>
      <c r="B125" s="54" t="s">
        <v>82</v>
      </c>
      <c r="C125" s="55" t="s">
        <v>252</v>
      </c>
      <c r="D125" s="55">
        <v>1</v>
      </c>
      <c r="E125" s="55" t="s">
        <v>70</v>
      </c>
      <c r="F125" s="56">
        <f>IFERROR(VLOOKUP($B125,Tipologias!$A$4:$V$8,5,0),"")</f>
        <v>2</v>
      </c>
      <c r="G125" s="56">
        <f>IFERROR(VLOOKUP($B125,Tipologias!$A$4:$V$8,6,0),"")</f>
        <v>2</v>
      </c>
      <c r="H125" s="57">
        <f>IFERROR(VLOOKUP($B125,Tipologias!$A$4:$V$8,9,0),"")</f>
        <v>94.789000000000001</v>
      </c>
      <c r="I125" s="57">
        <f>IFERROR(VLOOKUP($B125,Tipologias!$A$4:$V$8,10,0),"")</f>
        <v>83.65</v>
      </c>
      <c r="J125" s="57">
        <f>IFERROR(VLOOKUP($B125,Tipologias!$A$4:$V$8,16,0),"")</f>
        <v>195.56400000000002</v>
      </c>
      <c r="K125" s="55" t="s">
        <v>114</v>
      </c>
      <c r="L125" s="55"/>
      <c r="M125" s="58">
        <f>IFERROR(VLOOKUP($B125,Tipologias!$A$4:$V$8,19,0),"")</f>
        <v>0</v>
      </c>
      <c r="N125" s="58">
        <f t="shared" si="1"/>
        <v>0</v>
      </c>
      <c r="O125" s="58"/>
      <c r="P125" s="55"/>
      <c r="Q125" s="61" t="s">
        <v>357</v>
      </c>
      <c r="R125" s="50">
        <v>671.04</v>
      </c>
      <c r="S125" s="51">
        <f>IF(OR($H125="",$I125="",$R125=""),"",$R125*Precios!$B$5+$H125*Precios!$B$6+$I125*Precios!$B$7)</f>
        <v>258785.3</v>
      </c>
      <c r="T125" s="52">
        <f>Precios_v2!L136</f>
        <v>276000</v>
      </c>
    </row>
    <row r="126" spans="1:20" ht="15.75" customHeight="1" x14ac:dyDescent="0.25">
      <c r="A126" s="60" t="s">
        <v>358</v>
      </c>
      <c r="B126" s="54" t="s">
        <v>82</v>
      </c>
      <c r="C126" s="55" t="s">
        <v>252</v>
      </c>
      <c r="D126" s="55">
        <v>1</v>
      </c>
      <c r="E126" s="55" t="s">
        <v>70</v>
      </c>
      <c r="F126" s="56">
        <f>IFERROR(VLOOKUP($B126,Tipologias!$A$4:$V$8,5,0),"")</f>
        <v>2</v>
      </c>
      <c r="G126" s="56">
        <f>IFERROR(VLOOKUP($B126,Tipologias!$A$4:$V$8,6,0),"")</f>
        <v>2</v>
      </c>
      <c r="H126" s="57">
        <f>IFERROR(VLOOKUP($B126,Tipologias!$A$4:$V$8,9,0),"")</f>
        <v>94.789000000000001</v>
      </c>
      <c r="I126" s="57">
        <f>IFERROR(VLOOKUP($B126,Tipologias!$A$4:$V$8,10,0),"")</f>
        <v>83.65</v>
      </c>
      <c r="J126" s="57">
        <f>IFERROR(VLOOKUP($B126,Tipologias!$A$4:$V$8,16,0),"")</f>
        <v>195.56400000000002</v>
      </c>
      <c r="K126" s="55" t="s">
        <v>114</v>
      </c>
      <c r="L126" s="55"/>
      <c r="M126" s="58">
        <f>IFERROR(VLOOKUP($B126,Tipologias!$A$4:$V$8,19,0),"")</f>
        <v>0</v>
      </c>
      <c r="N126" s="58">
        <f t="shared" si="1"/>
        <v>0</v>
      </c>
      <c r="O126" s="58"/>
      <c r="P126" s="55"/>
      <c r="Q126" s="61" t="s">
        <v>359</v>
      </c>
      <c r="R126" s="50">
        <v>1289.47</v>
      </c>
      <c r="S126" s="51">
        <f>IF(OR($H126="",$I126="",$R126=""),"",$R126*Precios!$B$5+$H126*Precios!$B$6+$I126*Precios!$B$7)</f>
        <v>277338.2</v>
      </c>
      <c r="T126" s="52">
        <f>Precios_v2!L137</f>
        <v>276000</v>
      </c>
    </row>
    <row r="127" spans="1:20" ht="15.75" customHeight="1" x14ac:dyDescent="0.25">
      <c r="A127" s="60" t="s">
        <v>360</v>
      </c>
      <c r="B127" s="54" t="s">
        <v>82</v>
      </c>
      <c r="C127" s="55" t="s">
        <v>361</v>
      </c>
      <c r="D127" s="55">
        <v>1</v>
      </c>
      <c r="E127" s="55" t="s">
        <v>70</v>
      </c>
      <c r="F127" s="56">
        <f>IFERROR(VLOOKUP($B127,Tipologias!$A$4:$V$8,5,0),"")</f>
        <v>2</v>
      </c>
      <c r="G127" s="56">
        <f>IFERROR(VLOOKUP($B127,Tipologias!$A$4:$V$8,6,0),"")</f>
        <v>2</v>
      </c>
      <c r="H127" s="57">
        <f>IFERROR(VLOOKUP($B127,Tipologias!$A$4:$V$8,9,0),"")</f>
        <v>94.789000000000001</v>
      </c>
      <c r="I127" s="57">
        <f>IFERROR(VLOOKUP($B127,Tipologias!$A$4:$V$8,10,0),"")</f>
        <v>83.65</v>
      </c>
      <c r="J127" s="57">
        <f>IFERROR(VLOOKUP($B127,Tipologias!$A$4:$V$8,16,0),"")</f>
        <v>195.56400000000002</v>
      </c>
      <c r="K127" s="55" t="s">
        <v>114</v>
      </c>
      <c r="L127" s="55"/>
      <c r="M127" s="58">
        <f>IFERROR(VLOOKUP($B127,Tipologias!$A$4:$V$8,19,0),"")</f>
        <v>0</v>
      </c>
      <c r="N127" s="58">
        <f t="shared" si="1"/>
        <v>0</v>
      </c>
      <c r="O127" s="58"/>
      <c r="P127" s="55"/>
      <c r="Q127" s="61" t="s">
        <v>362</v>
      </c>
      <c r="R127" s="50">
        <v>739.28</v>
      </c>
      <c r="S127" s="51">
        <f>IF(OR($H127="",$I127="",$R127=""),"",$R127*Precios!$B$5+$H127*Precios!$B$6+$I127*Precios!$B$7)</f>
        <v>260832.5</v>
      </c>
      <c r="T127" s="52">
        <f>Precios_v2!L138</f>
        <v>269000</v>
      </c>
    </row>
    <row r="128" spans="1:20" ht="15.75" customHeight="1" x14ac:dyDescent="0.25">
      <c r="A128" s="60" t="s">
        <v>363</v>
      </c>
      <c r="B128" s="54" t="s">
        <v>82</v>
      </c>
      <c r="C128" s="55" t="s">
        <v>361</v>
      </c>
      <c r="D128" s="55">
        <v>1</v>
      </c>
      <c r="E128" s="55" t="s">
        <v>70</v>
      </c>
      <c r="F128" s="56">
        <f>IFERROR(VLOOKUP($B128,Tipologias!$A$4:$V$8,5,0),"")</f>
        <v>2</v>
      </c>
      <c r="G128" s="56">
        <f>IFERROR(VLOOKUP($B128,Tipologias!$A$4:$V$8,6,0),"")</f>
        <v>2</v>
      </c>
      <c r="H128" s="57">
        <f>IFERROR(VLOOKUP($B128,Tipologias!$A$4:$V$8,9,0),"")</f>
        <v>94.789000000000001</v>
      </c>
      <c r="I128" s="57">
        <f>IFERROR(VLOOKUP($B128,Tipologias!$A$4:$V$8,10,0),"")</f>
        <v>83.65</v>
      </c>
      <c r="J128" s="57">
        <f>IFERROR(VLOOKUP($B128,Tipologias!$A$4:$V$8,16,0),"")</f>
        <v>195.56400000000002</v>
      </c>
      <c r="K128" s="55" t="s">
        <v>114</v>
      </c>
      <c r="L128" s="55"/>
      <c r="M128" s="58">
        <f>IFERROR(VLOOKUP($B128,Tipologias!$A$4:$V$8,19,0),"")</f>
        <v>0</v>
      </c>
      <c r="N128" s="58">
        <f t="shared" si="1"/>
        <v>0</v>
      </c>
      <c r="O128" s="58"/>
      <c r="P128" s="55"/>
      <c r="Q128" s="61" t="s">
        <v>364</v>
      </c>
      <c r="R128" s="50">
        <v>831.24</v>
      </c>
      <c r="S128" s="51">
        <f>IF(OR($H128="",$I128="",$R128=""),"",$R128*Precios!$B$5+$H128*Precios!$B$6+$I128*Precios!$B$7)</f>
        <v>263591.30000000005</v>
      </c>
      <c r="T128" s="52">
        <f>Precios_v2!L139</f>
        <v>278000</v>
      </c>
    </row>
    <row r="129" spans="1:20" ht="15.75" customHeight="1" x14ac:dyDescent="0.25">
      <c r="A129" s="60" t="s">
        <v>365</v>
      </c>
      <c r="B129" s="54" t="s">
        <v>82</v>
      </c>
      <c r="C129" s="55" t="s">
        <v>361</v>
      </c>
      <c r="D129" s="55">
        <v>1</v>
      </c>
      <c r="E129" s="55" t="s">
        <v>70</v>
      </c>
      <c r="F129" s="56">
        <f>IFERROR(VLOOKUP($B129,Tipologias!$A$4:$V$8,5,0),"")</f>
        <v>2</v>
      </c>
      <c r="G129" s="56">
        <f>IFERROR(VLOOKUP($B129,Tipologias!$A$4:$V$8,6,0),"")</f>
        <v>2</v>
      </c>
      <c r="H129" s="57">
        <f>IFERROR(VLOOKUP($B129,Tipologias!$A$4:$V$8,9,0),"")</f>
        <v>94.789000000000001</v>
      </c>
      <c r="I129" s="57">
        <f>IFERROR(VLOOKUP($B129,Tipologias!$A$4:$V$8,10,0),"")</f>
        <v>83.65</v>
      </c>
      <c r="J129" s="57">
        <f>IFERROR(VLOOKUP($B129,Tipologias!$A$4:$V$8,16,0),"")</f>
        <v>195.56400000000002</v>
      </c>
      <c r="K129" s="55" t="s">
        <v>114</v>
      </c>
      <c r="L129" s="55"/>
      <c r="M129" s="58">
        <f>IFERROR(VLOOKUP($B129,Tipologias!$A$4:$V$8,19,0),"")</f>
        <v>0</v>
      </c>
      <c r="N129" s="58">
        <f t="shared" si="1"/>
        <v>0</v>
      </c>
      <c r="O129" s="58"/>
      <c r="P129" s="55"/>
      <c r="Q129" s="61" t="s">
        <v>366</v>
      </c>
      <c r="R129" s="50">
        <v>804.93</v>
      </c>
      <c r="S129" s="51">
        <f>IF(OR($H129="",$I129="",$R129=""),"",$R129*Precios!$B$5+$H129*Precios!$B$6+$I129*Precios!$B$7)</f>
        <v>262802</v>
      </c>
      <c r="T129" s="52">
        <f>Precios_v2!L140</f>
        <v>259000</v>
      </c>
    </row>
    <row r="130" spans="1:20" ht="15.75" customHeight="1" x14ac:dyDescent="0.25">
      <c r="A130" s="60" t="s">
        <v>367</v>
      </c>
      <c r="B130" s="54" t="s">
        <v>82</v>
      </c>
      <c r="C130" s="55" t="s">
        <v>361</v>
      </c>
      <c r="D130" s="55">
        <v>1</v>
      </c>
      <c r="E130" s="55" t="s">
        <v>70</v>
      </c>
      <c r="F130" s="56">
        <f>IFERROR(VLOOKUP($B130,Tipologias!$A$4:$V$8,5,0),"")</f>
        <v>2</v>
      </c>
      <c r="G130" s="56">
        <f>IFERROR(VLOOKUP($B130,Tipologias!$A$4:$V$8,6,0),"")</f>
        <v>2</v>
      </c>
      <c r="H130" s="57">
        <f>IFERROR(VLOOKUP($B130,Tipologias!$A$4:$V$8,9,0),"")</f>
        <v>94.789000000000001</v>
      </c>
      <c r="I130" s="57">
        <f>IFERROR(VLOOKUP($B130,Tipologias!$A$4:$V$8,10,0),"")</f>
        <v>83.65</v>
      </c>
      <c r="J130" s="57">
        <f>IFERROR(VLOOKUP($B130,Tipologias!$A$4:$V$8,16,0),"")</f>
        <v>195.56400000000002</v>
      </c>
      <c r="K130" s="55" t="s">
        <v>114</v>
      </c>
      <c r="L130" s="55"/>
      <c r="M130" s="58">
        <f>IFERROR(VLOOKUP($B130,Tipologias!$A$4:$V$8,19,0),"")</f>
        <v>0</v>
      </c>
      <c r="N130" s="58">
        <f t="shared" si="1"/>
        <v>0</v>
      </c>
      <c r="O130" s="58"/>
      <c r="P130" s="55"/>
      <c r="Q130" s="61" t="s">
        <v>368</v>
      </c>
      <c r="R130" s="50">
        <v>870.24</v>
      </c>
      <c r="S130" s="51">
        <f>IF(OR($H130="",$I130="",$R130=""),"",$R130*Precios!$B$5+$H130*Precios!$B$6+$I130*Precios!$B$7)</f>
        <v>264761.30000000005</v>
      </c>
      <c r="T130" s="52">
        <f>Precios_v2!L141</f>
        <v>273000</v>
      </c>
    </row>
    <row r="131" spans="1:20" ht="15.75" customHeight="1" x14ac:dyDescent="0.25">
      <c r="A131" s="60" t="s">
        <v>369</v>
      </c>
      <c r="B131" s="54" t="s">
        <v>82</v>
      </c>
      <c r="C131" s="55" t="s">
        <v>361</v>
      </c>
      <c r="D131" s="55">
        <v>1</v>
      </c>
      <c r="E131" s="55" t="s">
        <v>70</v>
      </c>
      <c r="F131" s="56">
        <f>IFERROR(VLOOKUP($B131,Tipologias!$A$4:$V$8,5,0),"")</f>
        <v>2</v>
      </c>
      <c r="G131" s="56">
        <f>IFERROR(VLOOKUP($B131,Tipologias!$A$4:$V$8,6,0),"")</f>
        <v>2</v>
      </c>
      <c r="H131" s="57">
        <f>IFERROR(VLOOKUP($B131,Tipologias!$A$4:$V$8,9,0),"")</f>
        <v>94.789000000000001</v>
      </c>
      <c r="I131" s="57">
        <f>IFERROR(VLOOKUP($B131,Tipologias!$A$4:$V$8,10,0),"")</f>
        <v>83.65</v>
      </c>
      <c r="J131" s="57">
        <f>IFERROR(VLOOKUP($B131,Tipologias!$A$4:$V$8,16,0),"")</f>
        <v>195.56400000000002</v>
      </c>
      <c r="K131" s="55" t="s">
        <v>114</v>
      </c>
      <c r="L131" s="55"/>
      <c r="M131" s="58">
        <f>IFERROR(VLOOKUP($B131,Tipologias!$A$4:$V$8,19,0),"")</f>
        <v>0</v>
      </c>
      <c r="N131" s="58">
        <f t="shared" ref="N131:N194" si="2">IF(OR($M131="",$J131=""),"",$M131*$J131)</f>
        <v>0</v>
      </c>
      <c r="O131" s="58"/>
      <c r="P131" s="55"/>
      <c r="Q131" s="61" t="s">
        <v>370</v>
      </c>
      <c r="R131" s="50">
        <v>938.92</v>
      </c>
      <c r="S131" s="51">
        <f>IF(OR($H131="",$I131="",$R131=""),"",$R131*Precios!$B$5+$H131*Precios!$B$6+$I131*Precios!$B$7)</f>
        <v>266821.7</v>
      </c>
      <c r="T131" s="52">
        <f>Precios_v2!L142</f>
        <v>258000</v>
      </c>
    </row>
    <row r="132" spans="1:20" ht="15.75" customHeight="1" x14ac:dyDescent="0.25">
      <c r="A132" s="60" t="s">
        <v>371</v>
      </c>
      <c r="B132" s="54" t="s">
        <v>82</v>
      </c>
      <c r="C132" s="55" t="s">
        <v>361</v>
      </c>
      <c r="D132" s="55">
        <v>1</v>
      </c>
      <c r="E132" s="55" t="s">
        <v>70</v>
      </c>
      <c r="F132" s="56">
        <f>IFERROR(VLOOKUP($B132,Tipologias!$A$4:$V$8,5,0),"")</f>
        <v>2</v>
      </c>
      <c r="G132" s="56">
        <f>IFERROR(VLOOKUP($B132,Tipologias!$A$4:$V$8,6,0),"")</f>
        <v>2</v>
      </c>
      <c r="H132" s="57">
        <f>IFERROR(VLOOKUP($B132,Tipologias!$A$4:$V$8,9,0),"")</f>
        <v>94.789000000000001</v>
      </c>
      <c r="I132" s="57">
        <f>IFERROR(VLOOKUP($B132,Tipologias!$A$4:$V$8,10,0),"")</f>
        <v>83.65</v>
      </c>
      <c r="J132" s="57">
        <f>IFERROR(VLOOKUP($B132,Tipologias!$A$4:$V$8,16,0),"")</f>
        <v>195.56400000000002</v>
      </c>
      <c r="K132" s="55" t="s">
        <v>114</v>
      </c>
      <c r="L132" s="55"/>
      <c r="M132" s="58">
        <f>IFERROR(VLOOKUP($B132,Tipologias!$A$4:$V$8,19,0),"")</f>
        <v>0</v>
      </c>
      <c r="N132" s="58">
        <f t="shared" si="2"/>
        <v>0</v>
      </c>
      <c r="O132" s="58"/>
      <c r="P132" s="55"/>
      <c r="Q132" s="61" t="s">
        <v>372</v>
      </c>
      <c r="R132" s="50">
        <v>731.57</v>
      </c>
      <c r="S132" s="51">
        <f>IF(OR($H132="",$I132="",$R132=""),"",$R132*Precios!$B$5+$H132*Precios!$B$6+$I132*Precios!$B$7)</f>
        <v>260601.2</v>
      </c>
      <c r="T132" s="52">
        <f>Precios_v2!L143</f>
        <v>269000</v>
      </c>
    </row>
    <row r="133" spans="1:20" ht="15.75" customHeight="1" x14ac:dyDescent="0.25">
      <c r="A133" s="60" t="s">
        <v>373</v>
      </c>
      <c r="B133" s="54" t="s">
        <v>82</v>
      </c>
      <c r="C133" s="55" t="s">
        <v>361</v>
      </c>
      <c r="D133" s="55">
        <v>1</v>
      </c>
      <c r="E133" s="55" t="s">
        <v>70</v>
      </c>
      <c r="F133" s="56">
        <f>IFERROR(VLOOKUP($B133,Tipologias!$A$4:$V$8,5,0),"")</f>
        <v>2</v>
      </c>
      <c r="G133" s="56">
        <f>IFERROR(VLOOKUP($B133,Tipologias!$A$4:$V$8,6,0),"")</f>
        <v>2</v>
      </c>
      <c r="H133" s="57">
        <f>IFERROR(VLOOKUP($B133,Tipologias!$A$4:$V$8,9,0),"")</f>
        <v>94.789000000000001</v>
      </c>
      <c r="I133" s="57">
        <f>IFERROR(VLOOKUP($B133,Tipologias!$A$4:$V$8,10,0),"")</f>
        <v>83.65</v>
      </c>
      <c r="J133" s="57">
        <f>IFERROR(VLOOKUP($B133,Tipologias!$A$4:$V$8,16,0),"")</f>
        <v>195.56400000000002</v>
      </c>
      <c r="K133" s="55" t="s">
        <v>114</v>
      </c>
      <c r="L133" s="55"/>
      <c r="M133" s="58">
        <f>IFERROR(VLOOKUP($B133,Tipologias!$A$4:$V$8,19,0),"")</f>
        <v>0</v>
      </c>
      <c r="N133" s="58">
        <f t="shared" si="2"/>
        <v>0</v>
      </c>
      <c r="O133" s="58"/>
      <c r="P133" s="55"/>
      <c r="Q133" s="61" t="s">
        <v>374</v>
      </c>
      <c r="R133" s="50">
        <v>1222.1600000000001</v>
      </c>
      <c r="S133" s="51">
        <f>IF(OR($H133="",$I133="",$R133=""),"",$R133*Precios!$B$5+$H133*Precios!$B$6+$I133*Precios!$B$7)</f>
        <v>275318.90000000002</v>
      </c>
      <c r="T133" s="52">
        <f>Precios_v2!L144</f>
        <v>254000</v>
      </c>
    </row>
    <row r="134" spans="1:20" ht="15.75" customHeight="1" x14ac:dyDescent="0.25">
      <c r="A134" s="60" t="s">
        <v>375</v>
      </c>
      <c r="B134" s="54" t="s">
        <v>82</v>
      </c>
      <c r="C134" s="55" t="s">
        <v>361</v>
      </c>
      <c r="D134" s="55">
        <v>1</v>
      </c>
      <c r="E134" s="55" t="s">
        <v>70</v>
      </c>
      <c r="F134" s="56">
        <f>IFERROR(VLOOKUP($B134,Tipologias!$A$4:$V$8,5,0),"")</f>
        <v>2</v>
      </c>
      <c r="G134" s="56">
        <f>IFERROR(VLOOKUP($B134,Tipologias!$A$4:$V$8,6,0),"")</f>
        <v>2</v>
      </c>
      <c r="H134" s="57">
        <f>IFERROR(VLOOKUP($B134,Tipologias!$A$4:$V$8,9,0),"")</f>
        <v>94.789000000000001</v>
      </c>
      <c r="I134" s="57">
        <f>IFERROR(VLOOKUP($B134,Tipologias!$A$4:$V$8,10,0),"")</f>
        <v>83.65</v>
      </c>
      <c r="J134" s="57">
        <f>IFERROR(VLOOKUP($B134,Tipologias!$A$4:$V$8,16,0),"")</f>
        <v>195.56400000000002</v>
      </c>
      <c r="K134" s="55" t="s">
        <v>114</v>
      </c>
      <c r="L134" s="55"/>
      <c r="M134" s="58">
        <f>IFERROR(VLOOKUP($B134,Tipologias!$A$4:$V$8,19,0),"")</f>
        <v>0</v>
      </c>
      <c r="N134" s="58">
        <f t="shared" si="2"/>
        <v>0</v>
      </c>
      <c r="O134" s="58"/>
      <c r="P134" s="55"/>
      <c r="Q134" s="61" t="s">
        <v>376</v>
      </c>
      <c r="R134" s="50">
        <v>810.64</v>
      </c>
      <c r="S134" s="51">
        <f>IF(OR($H134="",$I134="",$R134=""),"",$R134*Precios!$B$5+$H134*Precios!$B$6+$I134*Precios!$B$7)</f>
        <v>262973.30000000005</v>
      </c>
      <c r="T134" s="52">
        <f>Precios_v2!L145</f>
        <v>270000</v>
      </c>
    </row>
    <row r="135" spans="1:20" ht="15.75" customHeight="1" x14ac:dyDescent="0.25">
      <c r="A135" s="60" t="s">
        <v>377</v>
      </c>
      <c r="B135" s="54" t="s">
        <v>82</v>
      </c>
      <c r="C135" s="55" t="s">
        <v>361</v>
      </c>
      <c r="D135" s="55">
        <v>1</v>
      </c>
      <c r="E135" s="55" t="s">
        <v>70</v>
      </c>
      <c r="F135" s="56">
        <f>IFERROR(VLOOKUP($B135,Tipologias!$A$4:$V$8,5,0),"")</f>
        <v>2</v>
      </c>
      <c r="G135" s="56">
        <f>IFERROR(VLOOKUP($B135,Tipologias!$A$4:$V$8,6,0),"")</f>
        <v>2</v>
      </c>
      <c r="H135" s="57">
        <f>IFERROR(VLOOKUP($B135,Tipologias!$A$4:$V$8,9,0),"")</f>
        <v>94.789000000000001</v>
      </c>
      <c r="I135" s="57">
        <f>IFERROR(VLOOKUP($B135,Tipologias!$A$4:$V$8,10,0),"")</f>
        <v>83.65</v>
      </c>
      <c r="J135" s="57">
        <f>IFERROR(VLOOKUP($B135,Tipologias!$A$4:$V$8,16,0),"")</f>
        <v>195.56400000000002</v>
      </c>
      <c r="K135" s="55" t="s">
        <v>114</v>
      </c>
      <c r="L135" s="55"/>
      <c r="M135" s="58">
        <f>IFERROR(VLOOKUP($B135,Tipologias!$A$4:$V$8,19,0),"")</f>
        <v>0</v>
      </c>
      <c r="N135" s="58">
        <f t="shared" si="2"/>
        <v>0</v>
      </c>
      <c r="O135" s="58"/>
      <c r="P135" s="55"/>
      <c r="Q135" s="61" t="s">
        <v>378</v>
      </c>
      <c r="R135" s="50">
        <v>1217.45</v>
      </c>
      <c r="S135" s="51">
        <f>IF(OR($H135="",$I135="",$R135=""),"",$R135*Precios!$B$5+$H135*Precios!$B$6+$I135*Precios!$B$7)</f>
        <v>275177.60000000003</v>
      </c>
      <c r="T135" s="52">
        <f>Precios_v2!L146</f>
        <v>293000</v>
      </c>
    </row>
    <row r="136" spans="1:20" ht="15.75" customHeight="1" x14ac:dyDescent="0.25">
      <c r="A136" s="60" t="s">
        <v>379</v>
      </c>
      <c r="B136" s="54" t="s">
        <v>82</v>
      </c>
      <c r="C136" s="55" t="s">
        <v>361</v>
      </c>
      <c r="D136" s="55">
        <v>1</v>
      </c>
      <c r="E136" s="55" t="s">
        <v>70</v>
      </c>
      <c r="F136" s="56">
        <f>IFERROR(VLOOKUP($B136,Tipologias!$A$4:$V$8,5,0),"")</f>
        <v>2</v>
      </c>
      <c r="G136" s="56">
        <f>IFERROR(VLOOKUP($B136,Tipologias!$A$4:$V$8,6,0),"")</f>
        <v>2</v>
      </c>
      <c r="H136" s="57">
        <f>IFERROR(VLOOKUP($B136,Tipologias!$A$4:$V$8,9,0),"")</f>
        <v>94.789000000000001</v>
      </c>
      <c r="I136" s="57">
        <f>IFERROR(VLOOKUP($B136,Tipologias!$A$4:$V$8,10,0),"")</f>
        <v>83.65</v>
      </c>
      <c r="J136" s="57">
        <f>IFERROR(VLOOKUP($B136,Tipologias!$A$4:$V$8,16,0),"")</f>
        <v>195.56400000000002</v>
      </c>
      <c r="K136" s="55" t="s">
        <v>114</v>
      </c>
      <c r="L136" s="55"/>
      <c r="M136" s="58">
        <f>IFERROR(VLOOKUP($B136,Tipologias!$A$4:$V$8,19,0),"")</f>
        <v>0</v>
      </c>
      <c r="N136" s="58">
        <f t="shared" si="2"/>
        <v>0</v>
      </c>
      <c r="O136" s="58"/>
      <c r="P136" s="55"/>
      <c r="Q136" s="61" t="s">
        <v>380</v>
      </c>
      <c r="R136" s="50">
        <v>1047.58</v>
      </c>
      <c r="S136" s="51">
        <f>IF(OR($H136="",$I136="",$R136=""),"",$R136*Precios!$B$5+$H136*Precios!$B$6+$I136*Precios!$B$7)</f>
        <v>270081.5</v>
      </c>
      <c r="T136" s="52">
        <f>Precios_v2!L147</f>
        <v>265000</v>
      </c>
    </row>
    <row r="137" spans="1:20" ht="15.75" customHeight="1" x14ac:dyDescent="0.25">
      <c r="A137" s="60" t="s">
        <v>381</v>
      </c>
      <c r="B137" s="54" t="s">
        <v>82</v>
      </c>
      <c r="C137" s="55" t="s">
        <v>361</v>
      </c>
      <c r="D137" s="55">
        <v>1</v>
      </c>
      <c r="E137" s="55" t="s">
        <v>70</v>
      </c>
      <c r="F137" s="56">
        <f>IFERROR(VLOOKUP($B137,Tipologias!$A$4:$V$8,5,0),"")</f>
        <v>2</v>
      </c>
      <c r="G137" s="56">
        <f>IFERROR(VLOOKUP($B137,Tipologias!$A$4:$V$8,6,0),"")</f>
        <v>2</v>
      </c>
      <c r="H137" s="57">
        <f>IFERROR(VLOOKUP($B137,Tipologias!$A$4:$V$8,9,0),"")</f>
        <v>94.789000000000001</v>
      </c>
      <c r="I137" s="57">
        <f>IFERROR(VLOOKUP($B137,Tipologias!$A$4:$V$8,10,0),"")</f>
        <v>83.65</v>
      </c>
      <c r="J137" s="57">
        <f>IFERROR(VLOOKUP($B137,Tipologias!$A$4:$V$8,16,0),"")</f>
        <v>195.56400000000002</v>
      </c>
      <c r="K137" s="55" t="s">
        <v>114</v>
      </c>
      <c r="L137" s="55"/>
      <c r="M137" s="58">
        <f>IFERROR(VLOOKUP($B137,Tipologias!$A$4:$V$8,19,0),"")</f>
        <v>0</v>
      </c>
      <c r="N137" s="58">
        <f t="shared" si="2"/>
        <v>0</v>
      </c>
      <c r="O137" s="58"/>
      <c r="P137" s="55"/>
      <c r="Q137" s="61" t="s">
        <v>382</v>
      </c>
      <c r="R137" s="50">
        <v>1024.05</v>
      </c>
      <c r="S137" s="51">
        <f>IF(OR($H137="",$I137="",$R137=""),"",$R137*Precios!$B$5+$H137*Precios!$B$6+$I137*Precios!$B$7)</f>
        <v>269375.60000000003</v>
      </c>
      <c r="T137" s="52">
        <f>Precios_v2!L148</f>
        <v>252000</v>
      </c>
    </row>
    <row r="138" spans="1:20" ht="15.75" customHeight="1" x14ac:dyDescent="0.25">
      <c r="A138" s="60" t="s">
        <v>383</v>
      </c>
      <c r="B138" s="54" t="s">
        <v>82</v>
      </c>
      <c r="C138" s="55" t="s">
        <v>361</v>
      </c>
      <c r="D138" s="55">
        <v>1</v>
      </c>
      <c r="E138" s="55" t="s">
        <v>70</v>
      </c>
      <c r="F138" s="56">
        <f>IFERROR(VLOOKUP($B138,Tipologias!$A$4:$V$8,5,0),"")</f>
        <v>2</v>
      </c>
      <c r="G138" s="56">
        <f>IFERROR(VLOOKUP($B138,Tipologias!$A$4:$V$8,6,0),"")</f>
        <v>2</v>
      </c>
      <c r="H138" s="57">
        <f>IFERROR(VLOOKUP($B138,Tipologias!$A$4:$V$8,9,0),"")</f>
        <v>94.789000000000001</v>
      </c>
      <c r="I138" s="57">
        <f>IFERROR(VLOOKUP($B138,Tipologias!$A$4:$V$8,10,0),"")</f>
        <v>83.65</v>
      </c>
      <c r="J138" s="57">
        <f>IFERROR(VLOOKUP($B138,Tipologias!$A$4:$V$8,16,0),"")</f>
        <v>195.56400000000002</v>
      </c>
      <c r="K138" s="55" t="s">
        <v>114</v>
      </c>
      <c r="L138" s="55"/>
      <c r="M138" s="58">
        <f>IFERROR(VLOOKUP($B138,Tipologias!$A$4:$V$8,19,0),"")</f>
        <v>0</v>
      </c>
      <c r="N138" s="58">
        <f t="shared" si="2"/>
        <v>0</v>
      </c>
      <c r="O138" s="58"/>
      <c r="P138" s="55"/>
      <c r="Q138" s="61" t="s">
        <v>384</v>
      </c>
      <c r="R138" s="50">
        <v>1305.94</v>
      </c>
      <c r="S138" s="51">
        <f>IF(OR($H138="",$I138="",$R138=""),"",$R138*Precios!$B$5+$H138*Precios!$B$6+$I138*Precios!$B$7)</f>
        <v>277832.30000000005</v>
      </c>
      <c r="T138" s="52">
        <f>Precios_v2!L149</f>
        <v>273000</v>
      </c>
    </row>
    <row r="139" spans="1:20" ht="15.75" customHeight="1" x14ac:dyDescent="0.25">
      <c r="A139" s="60" t="s">
        <v>385</v>
      </c>
      <c r="B139" s="54" t="s">
        <v>82</v>
      </c>
      <c r="C139" s="55" t="s">
        <v>361</v>
      </c>
      <c r="D139" s="55">
        <v>1</v>
      </c>
      <c r="E139" s="55" t="s">
        <v>70</v>
      </c>
      <c r="F139" s="56">
        <f>IFERROR(VLOOKUP($B139,Tipologias!$A$4:$V$8,5,0),"")</f>
        <v>2</v>
      </c>
      <c r="G139" s="56">
        <f>IFERROR(VLOOKUP($B139,Tipologias!$A$4:$V$8,6,0),"")</f>
        <v>2</v>
      </c>
      <c r="H139" s="57">
        <f>IFERROR(VLOOKUP($B139,Tipologias!$A$4:$V$8,9,0),"")</f>
        <v>94.789000000000001</v>
      </c>
      <c r="I139" s="57">
        <f>IFERROR(VLOOKUP($B139,Tipologias!$A$4:$V$8,10,0),"")</f>
        <v>83.65</v>
      </c>
      <c r="J139" s="57">
        <f>IFERROR(VLOOKUP($B139,Tipologias!$A$4:$V$8,16,0),"")</f>
        <v>195.56400000000002</v>
      </c>
      <c r="K139" s="55" t="s">
        <v>114</v>
      </c>
      <c r="L139" s="55"/>
      <c r="M139" s="58">
        <f>IFERROR(VLOOKUP($B139,Tipologias!$A$4:$V$8,19,0),"")</f>
        <v>0</v>
      </c>
      <c r="N139" s="58">
        <f t="shared" si="2"/>
        <v>0</v>
      </c>
      <c r="O139" s="58"/>
      <c r="P139" s="55"/>
      <c r="Q139" s="61" t="s">
        <v>386</v>
      </c>
      <c r="R139" s="50">
        <v>1329.16</v>
      </c>
      <c r="S139" s="51">
        <f>IF(OR($H139="",$I139="",$R139=""),"",$R139*Precios!$B$5+$H139*Precios!$B$6+$I139*Precios!$B$7)</f>
        <v>278528.90000000002</v>
      </c>
      <c r="T139" s="52">
        <f>Precios_v2!L150</f>
        <v>273000</v>
      </c>
    </row>
    <row r="140" spans="1:20" ht="15.75" customHeight="1" x14ac:dyDescent="0.25">
      <c r="A140" s="60" t="s">
        <v>387</v>
      </c>
      <c r="B140" s="54" t="s">
        <v>82</v>
      </c>
      <c r="C140" s="55" t="s">
        <v>361</v>
      </c>
      <c r="D140" s="55">
        <v>1</v>
      </c>
      <c r="E140" s="55" t="s">
        <v>70</v>
      </c>
      <c r="F140" s="56">
        <f>IFERROR(VLOOKUP($B140,Tipologias!$A$4:$V$8,5,0),"")</f>
        <v>2</v>
      </c>
      <c r="G140" s="56">
        <f>IFERROR(VLOOKUP($B140,Tipologias!$A$4:$V$8,6,0),"")</f>
        <v>2</v>
      </c>
      <c r="H140" s="57">
        <f>IFERROR(VLOOKUP($B140,Tipologias!$A$4:$V$8,9,0),"")</f>
        <v>94.789000000000001</v>
      </c>
      <c r="I140" s="57">
        <f>IFERROR(VLOOKUP($B140,Tipologias!$A$4:$V$8,10,0),"")</f>
        <v>83.65</v>
      </c>
      <c r="J140" s="57">
        <f>IFERROR(VLOOKUP($B140,Tipologias!$A$4:$V$8,16,0),"")</f>
        <v>195.56400000000002</v>
      </c>
      <c r="K140" s="55" t="s">
        <v>114</v>
      </c>
      <c r="L140" s="55"/>
      <c r="M140" s="58">
        <f>IFERROR(VLOOKUP($B140,Tipologias!$A$4:$V$8,19,0),"")</f>
        <v>0</v>
      </c>
      <c r="N140" s="58">
        <f t="shared" si="2"/>
        <v>0</v>
      </c>
      <c r="O140" s="58"/>
      <c r="P140" s="55"/>
      <c r="Q140" s="61" t="s">
        <v>388</v>
      </c>
      <c r="R140" s="50">
        <v>921.61</v>
      </c>
      <c r="S140" s="51">
        <f>IF(OR($H140="",$I140="",$R140=""),"",$R140*Precios!$B$5+$H140*Precios!$B$6+$I140*Precios!$B$7)</f>
        <v>266302.40000000002</v>
      </c>
      <c r="T140" s="52">
        <f>Precios_v2!L151</f>
        <v>263000</v>
      </c>
    </row>
    <row r="141" spans="1:20" ht="15.75" customHeight="1" x14ac:dyDescent="0.25">
      <c r="A141" s="60" t="s">
        <v>389</v>
      </c>
      <c r="B141" s="54" t="s">
        <v>82</v>
      </c>
      <c r="C141" s="55" t="s">
        <v>361</v>
      </c>
      <c r="D141" s="55">
        <v>1</v>
      </c>
      <c r="E141" s="55" t="s">
        <v>70</v>
      </c>
      <c r="F141" s="56">
        <f>IFERROR(VLOOKUP($B141,Tipologias!$A$4:$V$8,5,0),"")</f>
        <v>2</v>
      </c>
      <c r="G141" s="56">
        <f>IFERROR(VLOOKUP($B141,Tipologias!$A$4:$V$8,6,0),"")</f>
        <v>2</v>
      </c>
      <c r="H141" s="57">
        <f>IFERROR(VLOOKUP($B141,Tipologias!$A$4:$V$8,9,0),"")</f>
        <v>94.789000000000001</v>
      </c>
      <c r="I141" s="57">
        <f>IFERROR(VLOOKUP($B141,Tipologias!$A$4:$V$8,10,0),"")</f>
        <v>83.65</v>
      </c>
      <c r="J141" s="57">
        <f>IFERROR(VLOOKUP($B141,Tipologias!$A$4:$V$8,16,0),"")</f>
        <v>195.56400000000002</v>
      </c>
      <c r="K141" s="55" t="s">
        <v>114</v>
      </c>
      <c r="L141" s="55"/>
      <c r="M141" s="58">
        <f>IFERROR(VLOOKUP($B141,Tipologias!$A$4:$V$8,19,0),"")</f>
        <v>0</v>
      </c>
      <c r="N141" s="58">
        <f t="shared" si="2"/>
        <v>0</v>
      </c>
      <c r="O141" s="58"/>
      <c r="P141" s="55"/>
      <c r="Q141" s="61" t="s">
        <v>390</v>
      </c>
      <c r="R141" s="50">
        <v>1124.3699999999999</v>
      </c>
      <c r="S141" s="51">
        <f>IF(OR($H141="",$I141="",$R141=""),"",$R141*Precios!$B$5+$H141*Precios!$B$6+$I141*Precios!$B$7)</f>
        <v>272385.2</v>
      </c>
      <c r="T141" s="52">
        <f>Precios_v2!L152</f>
        <v>268000</v>
      </c>
    </row>
    <row r="142" spans="1:20" ht="15.75" customHeight="1" x14ac:dyDescent="0.25">
      <c r="A142" s="60" t="s">
        <v>391</v>
      </c>
      <c r="B142" s="54" t="s">
        <v>82</v>
      </c>
      <c r="C142" s="55" t="s">
        <v>361</v>
      </c>
      <c r="D142" s="55">
        <v>1</v>
      </c>
      <c r="E142" s="55" t="s">
        <v>70</v>
      </c>
      <c r="F142" s="56">
        <f>IFERROR(VLOOKUP($B142,Tipologias!$A$4:$V$8,5,0),"")</f>
        <v>2</v>
      </c>
      <c r="G142" s="56">
        <f>IFERROR(VLOOKUP($B142,Tipologias!$A$4:$V$8,6,0),"")</f>
        <v>2</v>
      </c>
      <c r="H142" s="57">
        <f>IFERROR(VLOOKUP($B142,Tipologias!$A$4:$V$8,9,0),"")</f>
        <v>94.789000000000001</v>
      </c>
      <c r="I142" s="57">
        <f>IFERROR(VLOOKUP($B142,Tipologias!$A$4:$V$8,10,0),"")</f>
        <v>83.65</v>
      </c>
      <c r="J142" s="57">
        <f>IFERROR(VLOOKUP($B142,Tipologias!$A$4:$V$8,16,0),"")</f>
        <v>195.56400000000002</v>
      </c>
      <c r="K142" s="55" t="s">
        <v>114</v>
      </c>
      <c r="L142" s="55"/>
      <c r="M142" s="58">
        <f>IFERROR(VLOOKUP($B142,Tipologias!$A$4:$V$8,19,0),"")</f>
        <v>0</v>
      </c>
      <c r="N142" s="58">
        <f t="shared" si="2"/>
        <v>0</v>
      </c>
      <c r="O142" s="58"/>
      <c r="P142" s="55"/>
      <c r="Q142" s="61" t="s">
        <v>392</v>
      </c>
      <c r="R142" s="50">
        <v>848.1</v>
      </c>
      <c r="S142" s="51">
        <f>IF(OR($H142="",$I142="",$R142=""),"",$R142*Precios!$B$5+$H142*Precios!$B$6+$I142*Precios!$B$7)</f>
        <v>264097.10000000003</v>
      </c>
      <c r="T142" s="52">
        <f>Precios_v2!L153</f>
        <v>263000</v>
      </c>
    </row>
    <row r="143" spans="1:20" ht="15.75" customHeight="1" x14ac:dyDescent="0.25">
      <c r="A143" s="60" t="s">
        <v>393</v>
      </c>
      <c r="B143" s="54" t="s">
        <v>82</v>
      </c>
      <c r="C143" s="55" t="s">
        <v>361</v>
      </c>
      <c r="D143" s="55">
        <v>1</v>
      </c>
      <c r="E143" s="55" t="s">
        <v>70</v>
      </c>
      <c r="F143" s="56">
        <f>IFERROR(VLOOKUP($B143,Tipologias!$A$4:$V$8,5,0),"")</f>
        <v>2</v>
      </c>
      <c r="G143" s="56">
        <f>IFERROR(VLOOKUP($B143,Tipologias!$A$4:$V$8,6,0),"")</f>
        <v>2</v>
      </c>
      <c r="H143" s="57">
        <f>IFERROR(VLOOKUP($B143,Tipologias!$A$4:$V$8,9,0),"")</f>
        <v>94.789000000000001</v>
      </c>
      <c r="I143" s="57">
        <f>IFERROR(VLOOKUP($B143,Tipologias!$A$4:$V$8,10,0),"")</f>
        <v>83.65</v>
      </c>
      <c r="J143" s="57">
        <f>IFERROR(VLOOKUP($B143,Tipologias!$A$4:$V$8,16,0),"")</f>
        <v>195.56400000000002</v>
      </c>
      <c r="K143" s="55" t="s">
        <v>114</v>
      </c>
      <c r="L143" s="55"/>
      <c r="M143" s="58">
        <f>IFERROR(VLOOKUP($B143,Tipologias!$A$4:$V$8,19,0),"")</f>
        <v>0</v>
      </c>
      <c r="N143" s="58">
        <f t="shared" si="2"/>
        <v>0</v>
      </c>
      <c r="O143" s="58"/>
      <c r="P143" s="55"/>
      <c r="Q143" s="61" t="s">
        <v>394</v>
      </c>
      <c r="R143" s="50">
        <v>1354.81</v>
      </c>
      <c r="S143" s="51">
        <f>IF(OR($H143="",$I143="",$R143=""),"",$R143*Precios!$B$5+$H143*Precios!$B$6+$I143*Precios!$B$7)</f>
        <v>279298.40000000002</v>
      </c>
      <c r="T143" s="52">
        <f>Precios_v2!L154</f>
        <v>284000</v>
      </c>
    </row>
    <row r="144" spans="1:20" ht="15.75" customHeight="1" x14ac:dyDescent="0.25">
      <c r="A144" s="60" t="s">
        <v>395</v>
      </c>
      <c r="B144" s="54" t="s">
        <v>82</v>
      </c>
      <c r="C144" s="55" t="s">
        <v>361</v>
      </c>
      <c r="D144" s="55">
        <v>1</v>
      </c>
      <c r="E144" s="55" t="s">
        <v>70</v>
      </c>
      <c r="F144" s="56">
        <f>IFERROR(VLOOKUP($B144,Tipologias!$A$4:$V$8,5,0),"")</f>
        <v>2</v>
      </c>
      <c r="G144" s="56">
        <f>IFERROR(VLOOKUP($B144,Tipologias!$A$4:$V$8,6,0),"")</f>
        <v>2</v>
      </c>
      <c r="H144" s="57">
        <f>IFERROR(VLOOKUP($B144,Tipologias!$A$4:$V$8,9,0),"")</f>
        <v>94.789000000000001</v>
      </c>
      <c r="I144" s="57">
        <f>IFERROR(VLOOKUP($B144,Tipologias!$A$4:$V$8,10,0),"")</f>
        <v>83.65</v>
      </c>
      <c r="J144" s="57">
        <f>IFERROR(VLOOKUP($B144,Tipologias!$A$4:$V$8,16,0),"")</f>
        <v>195.56400000000002</v>
      </c>
      <c r="K144" s="55" t="s">
        <v>114</v>
      </c>
      <c r="L144" s="55"/>
      <c r="M144" s="58">
        <f>IFERROR(VLOOKUP($B144,Tipologias!$A$4:$V$8,19,0),"")</f>
        <v>0</v>
      </c>
      <c r="N144" s="58">
        <f t="shared" si="2"/>
        <v>0</v>
      </c>
      <c r="O144" s="58"/>
      <c r="P144" s="55"/>
      <c r="Q144" s="61" t="s">
        <v>396</v>
      </c>
      <c r="R144" s="50">
        <v>990.91</v>
      </c>
      <c r="S144" s="51">
        <f>IF(OR($H144="",$I144="",$R144=""),"",$R144*Precios!$B$5+$H144*Precios!$B$6+$I144*Precios!$B$7)</f>
        <v>268381.40000000002</v>
      </c>
      <c r="T144" s="52">
        <f>Precios_v2!L155</f>
        <v>267000</v>
      </c>
    </row>
    <row r="145" spans="1:20" ht="15.75" customHeight="1" x14ac:dyDescent="0.25">
      <c r="A145" s="60" t="s">
        <v>397</v>
      </c>
      <c r="B145" s="54" t="s">
        <v>82</v>
      </c>
      <c r="C145" s="55" t="s">
        <v>361</v>
      </c>
      <c r="D145" s="55">
        <v>1</v>
      </c>
      <c r="E145" s="55" t="s">
        <v>70</v>
      </c>
      <c r="F145" s="56">
        <f>IFERROR(VLOOKUP($B145,Tipologias!$A$4:$V$8,5,0),"")</f>
        <v>2</v>
      </c>
      <c r="G145" s="56">
        <f>IFERROR(VLOOKUP($B145,Tipologias!$A$4:$V$8,6,0),"")</f>
        <v>2</v>
      </c>
      <c r="H145" s="57">
        <f>IFERROR(VLOOKUP($B145,Tipologias!$A$4:$V$8,9,0),"")</f>
        <v>94.789000000000001</v>
      </c>
      <c r="I145" s="57">
        <f>IFERROR(VLOOKUP($B145,Tipologias!$A$4:$V$8,10,0),"")</f>
        <v>83.65</v>
      </c>
      <c r="J145" s="57">
        <f>IFERROR(VLOOKUP($B145,Tipologias!$A$4:$V$8,16,0),"")</f>
        <v>195.56400000000002</v>
      </c>
      <c r="K145" s="55" t="s">
        <v>114</v>
      </c>
      <c r="L145" s="55"/>
      <c r="M145" s="58">
        <f>IFERROR(VLOOKUP($B145,Tipologias!$A$4:$V$8,19,0),"")</f>
        <v>0</v>
      </c>
      <c r="N145" s="58">
        <f t="shared" si="2"/>
        <v>0</v>
      </c>
      <c r="O145" s="58"/>
      <c r="P145" s="55"/>
      <c r="Q145" s="61" t="s">
        <v>398</v>
      </c>
      <c r="R145" s="50">
        <v>999.81</v>
      </c>
      <c r="S145" s="51">
        <f>IF(OR($H145="",$I145="",$R145=""),"",$R145*Precios!$B$5+$H145*Precios!$B$6+$I145*Precios!$B$7)</f>
        <v>268648.40000000002</v>
      </c>
      <c r="T145" s="52">
        <f>Precios_v2!L156</f>
        <v>293000</v>
      </c>
    </row>
    <row r="146" spans="1:20" ht="15.75" customHeight="1" x14ac:dyDescent="0.25">
      <c r="A146" s="60" t="s">
        <v>399</v>
      </c>
      <c r="B146" s="54" t="s">
        <v>82</v>
      </c>
      <c r="C146" s="55" t="s">
        <v>361</v>
      </c>
      <c r="D146" s="55">
        <v>1</v>
      </c>
      <c r="E146" s="55" t="s">
        <v>70</v>
      </c>
      <c r="F146" s="56">
        <f>IFERROR(VLOOKUP($B146,Tipologias!$A$4:$V$8,5,0),"")</f>
        <v>2</v>
      </c>
      <c r="G146" s="56">
        <f>IFERROR(VLOOKUP($B146,Tipologias!$A$4:$V$8,6,0),"")</f>
        <v>2</v>
      </c>
      <c r="H146" s="57">
        <f>IFERROR(VLOOKUP($B146,Tipologias!$A$4:$V$8,9,0),"")</f>
        <v>94.789000000000001</v>
      </c>
      <c r="I146" s="57">
        <f>IFERROR(VLOOKUP($B146,Tipologias!$A$4:$V$8,10,0),"")</f>
        <v>83.65</v>
      </c>
      <c r="J146" s="57">
        <f>IFERROR(VLOOKUP($B146,Tipologias!$A$4:$V$8,16,0),"")</f>
        <v>195.56400000000002</v>
      </c>
      <c r="K146" s="55" t="s">
        <v>114</v>
      </c>
      <c r="L146" s="55"/>
      <c r="M146" s="58">
        <f>IFERROR(VLOOKUP($B146,Tipologias!$A$4:$V$8,19,0),"")</f>
        <v>0</v>
      </c>
      <c r="N146" s="58">
        <f t="shared" si="2"/>
        <v>0</v>
      </c>
      <c r="O146" s="58"/>
      <c r="P146" s="55"/>
      <c r="Q146" s="61" t="s">
        <v>400</v>
      </c>
      <c r="R146" s="50">
        <v>772.56</v>
      </c>
      <c r="S146" s="51">
        <f>IF(OR($H146="",$I146="",$R146=""),"",$R146*Precios!$B$5+$H146*Precios!$B$6+$I146*Precios!$B$7)</f>
        <v>261830.9</v>
      </c>
      <c r="T146" s="52">
        <f>Precios_v2!L157</f>
        <v>264000</v>
      </c>
    </row>
    <row r="147" spans="1:20" ht="15.75" customHeight="1" x14ac:dyDescent="0.25">
      <c r="A147" s="60" t="s">
        <v>401</v>
      </c>
      <c r="B147" s="54" t="s">
        <v>82</v>
      </c>
      <c r="C147" s="55" t="s">
        <v>361</v>
      </c>
      <c r="D147" s="55">
        <v>1</v>
      </c>
      <c r="E147" s="55" t="s">
        <v>70</v>
      </c>
      <c r="F147" s="56">
        <f>IFERROR(VLOOKUP($B147,Tipologias!$A$4:$V$8,5,0),"")</f>
        <v>2</v>
      </c>
      <c r="G147" s="56">
        <f>IFERROR(VLOOKUP($B147,Tipologias!$A$4:$V$8,6,0),"")</f>
        <v>2</v>
      </c>
      <c r="H147" s="57">
        <f>IFERROR(VLOOKUP($B147,Tipologias!$A$4:$V$8,9,0),"")</f>
        <v>94.789000000000001</v>
      </c>
      <c r="I147" s="57">
        <f>IFERROR(VLOOKUP($B147,Tipologias!$A$4:$V$8,10,0),"")</f>
        <v>83.65</v>
      </c>
      <c r="J147" s="57">
        <f>IFERROR(VLOOKUP($B147,Tipologias!$A$4:$V$8,16,0),"")</f>
        <v>195.56400000000002</v>
      </c>
      <c r="K147" s="55" t="s">
        <v>114</v>
      </c>
      <c r="L147" s="55"/>
      <c r="M147" s="58">
        <f>IFERROR(VLOOKUP($B147,Tipologias!$A$4:$V$8,19,0),"")</f>
        <v>0</v>
      </c>
      <c r="N147" s="58">
        <f t="shared" si="2"/>
        <v>0</v>
      </c>
      <c r="O147" s="58"/>
      <c r="P147" s="55"/>
      <c r="Q147" s="61" t="s">
        <v>402</v>
      </c>
      <c r="R147" s="50">
        <v>727.66</v>
      </c>
      <c r="S147" s="51">
        <f>IF(OR($H147="",$I147="",$R147=""),"",$R147*Precios!$B$5+$H147*Precios!$B$6+$I147*Precios!$B$7)</f>
        <v>260483.9</v>
      </c>
      <c r="T147" s="52">
        <f>Precios_v2!L158</f>
        <v>261000</v>
      </c>
    </row>
    <row r="148" spans="1:20" ht="15.75" customHeight="1" x14ac:dyDescent="0.25">
      <c r="A148" s="60" t="s">
        <v>403</v>
      </c>
      <c r="B148" s="54" t="s">
        <v>82</v>
      </c>
      <c r="C148" s="55" t="s">
        <v>361</v>
      </c>
      <c r="D148" s="55">
        <v>1</v>
      </c>
      <c r="E148" s="55" t="s">
        <v>70</v>
      </c>
      <c r="F148" s="56">
        <f>IFERROR(VLOOKUP($B148,Tipologias!$A$4:$V$8,5,0),"")</f>
        <v>2</v>
      </c>
      <c r="G148" s="56">
        <f>IFERROR(VLOOKUP($B148,Tipologias!$A$4:$V$8,6,0),"")</f>
        <v>2</v>
      </c>
      <c r="H148" s="57">
        <f>IFERROR(VLOOKUP($B148,Tipologias!$A$4:$V$8,9,0),"")</f>
        <v>94.789000000000001</v>
      </c>
      <c r="I148" s="57">
        <f>IFERROR(VLOOKUP($B148,Tipologias!$A$4:$V$8,10,0),"")</f>
        <v>83.65</v>
      </c>
      <c r="J148" s="57">
        <f>IFERROR(VLOOKUP($B148,Tipologias!$A$4:$V$8,16,0),"")</f>
        <v>195.56400000000002</v>
      </c>
      <c r="K148" s="55" t="s">
        <v>114</v>
      </c>
      <c r="L148" s="55"/>
      <c r="M148" s="58">
        <f>IFERROR(VLOOKUP($B148,Tipologias!$A$4:$V$8,19,0),"")</f>
        <v>0</v>
      </c>
      <c r="N148" s="58">
        <f t="shared" si="2"/>
        <v>0</v>
      </c>
      <c r="O148" s="58"/>
      <c r="P148" s="55"/>
      <c r="Q148" s="61" t="s">
        <v>404</v>
      </c>
      <c r="R148" s="50">
        <v>839.45</v>
      </c>
      <c r="S148" s="51">
        <f>IF(OR($H148="",$I148="",$R148=""),"",$R148*Precios!$B$5+$H148*Precios!$B$6+$I148*Precios!$B$7)</f>
        <v>263837.60000000003</v>
      </c>
      <c r="T148" s="52">
        <f>Precios_v2!L159</f>
        <v>265000</v>
      </c>
    </row>
    <row r="149" spans="1:20" ht="15.75" customHeight="1" x14ac:dyDescent="0.25">
      <c r="A149" s="60" t="s">
        <v>405</v>
      </c>
      <c r="B149" s="54" t="s">
        <v>82</v>
      </c>
      <c r="C149" s="55" t="s">
        <v>361</v>
      </c>
      <c r="D149" s="55">
        <v>1</v>
      </c>
      <c r="E149" s="55" t="s">
        <v>70</v>
      </c>
      <c r="F149" s="56">
        <f>IFERROR(VLOOKUP($B149,Tipologias!$A$4:$V$8,5,0),"")</f>
        <v>2</v>
      </c>
      <c r="G149" s="56">
        <f>IFERROR(VLOOKUP($B149,Tipologias!$A$4:$V$8,6,0),"")</f>
        <v>2</v>
      </c>
      <c r="H149" s="57">
        <f>IFERROR(VLOOKUP($B149,Tipologias!$A$4:$V$8,9,0),"")</f>
        <v>94.789000000000001</v>
      </c>
      <c r="I149" s="57">
        <f>IFERROR(VLOOKUP($B149,Tipologias!$A$4:$V$8,10,0),"")</f>
        <v>83.65</v>
      </c>
      <c r="J149" s="57">
        <f>IFERROR(VLOOKUP($B149,Tipologias!$A$4:$V$8,16,0),"")</f>
        <v>195.56400000000002</v>
      </c>
      <c r="K149" s="55" t="s">
        <v>114</v>
      </c>
      <c r="L149" s="55"/>
      <c r="M149" s="58">
        <f>IFERROR(VLOOKUP($B149,Tipologias!$A$4:$V$8,19,0),"")</f>
        <v>0</v>
      </c>
      <c r="N149" s="58">
        <f t="shared" si="2"/>
        <v>0</v>
      </c>
      <c r="O149" s="58"/>
      <c r="P149" s="55"/>
      <c r="Q149" s="61" t="s">
        <v>406</v>
      </c>
      <c r="R149" s="50">
        <v>693.48</v>
      </c>
      <c r="S149" s="51">
        <f>IF(OR($H149="",$I149="",$R149=""),"",$R149*Precios!$B$5+$H149*Precios!$B$6+$I149*Precios!$B$7)</f>
        <v>259458.5</v>
      </c>
      <c r="T149" s="52">
        <f>Precios_v2!L160</f>
        <v>258000</v>
      </c>
    </row>
    <row r="150" spans="1:20" ht="15.75" customHeight="1" x14ac:dyDescent="0.25">
      <c r="A150" s="60" t="s">
        <v>407</v>
      </c>
      <c r="B150" s="54" t="s">
        <v>82</v>
      </c>
      <c r="C150" s="55" t="s">
        <v>361</v>
      </c>
      <c r="D150" s="55">
        <v>1</v>
      </c>
      <c r="E150" s="55" t="s">
        <v>70</v>
      </c>
      <c r="F150" s="56">
        <f>IFERROR(VLOOKUP($B150,Tipologias!$A$4:$V$8,5,0),"")</f>
        <v>2</v>
      </c>
      <c r="G150" s="56">
        <f>IFERROR(VLOOKUP($B150,Tipologias!$A$4:$V$8,6,0),"")</f>
        <v>2</v>
      </c>
      <c r="H150" s="57">
        <f>IFERROR(VLOOKUP($B150,Tipologias!$A$4:$V$8,9,0),"")</f>
        <v>94.789000000000001</v>
      </c>
      <c r="I150" s="57">
        <f>IFERROR(VLOOKUP($B150,Tipologias!$A$4:$V$8,10,0),"")</f>
        <v>83.65</v>
      </c>
      <c r="J150" s="57">
        <f>IFERROR(VLOOKUP($B150,Tipologias!$A$4:$V$8,16,0),"")</f>
        <v>195.56400000000002</v>
      </c>
      <c r="K150" s="55" t="s">
        <v>114</v>
      </c>
      <c r="L150" s="55"/>
      <c r="M150" s="58">
        <f>IFERROR(VLOOKUP($B150,Tipologias!$A$4:$V$8,19,0),"")</f>
        <v>0</v>
      </c>
      <c r="N150" s="58">
        <f t="shared" si="2"/>
        <v>0</v>
      </c>
      <c r="O150" s="58"/>
      <c r="P150" s="55"/>
      <c r="Q150" s="61" t="s">
        <v>408</v>
      </c>
      <c r="R150" s="50">
        <v>863.42</v>
      </c>
      <c r="S150" s="51">
        <f>IF(OR($H150="",$I150="",$R150=""),"",$R150*Precios!$B$5+$H150*Precios!$B$6+$I150*Precios!$B$7)</f>
        <v>264556.7</v>
      </c>
      <c r="T150" s="52">
        <f>Precios_v2!L161</f>
        <v>265000</v>
      </c>
    </row>
    <row r="151" spans="1:20" ht="15.75" customHeight="1" x14ac:dyDescent="0.25">
      <c r="A151" s="60" t="s">
        <v>409</v>
      </c>
      <c r="B151" s="54" t="s">
        <v>82</v>
      </c>
      <c r="C151" s="55" t="s">
        <v>361</v>
      </c>
      <c r="D151" s="55">
        <v>1</v>
      </c>
      <c r="E151" s="55" t="s">
        <v>70</v>
      </c>
      <c r="F151" s="56">
        <f>IFERROR(VLOOKUP($B151,Tipologias!$A$4:$V$8,5,0),"")</f>
        <v>2</v>
      </c>
      <c r="G151" s="56">
        <f>IFERROR(VLOOKUP($B151,Tipologias!$A$4:$V$8,6,0),"")</f>
        <v>2</v>
      </c>
      <c r="H151" s="57">
        <f>IFERROR(VLOOKUP($B151,Tipologias!$A$4:$V$8,9,0),"")</f>
        <v>94.789000000000001</v>
      </c>
      <c r="I151" s="57">
        <f>IFERROR(VLOOKUP($B151,Tipologias!$A$4:$V$8,10,0),"")</f>
        <v>83.65</v>
      </c>
      <c r="J151" s="57">
        <f>IFERROR(VLOOKUP($B151,Tipologias!$A$4:$V$8,16,0),"")</f>
        <v>195.56400000000002</v>
      </c>
      <c r="K151" s="55" t="s">
        <v>114</v>
      </c>
      <c r="L151" s="55"/>
      <c r="M151" s="58">
        <f>IFERROR(VLOOKUP($B151,Tipologias!$A$4:$V$8,19,0),"")</f>
        <v>0</v>
      </c>
      <c r="N151" s="58">
        <f t="shared" si="2"/>
        <v>0</v>
      </c>
      <c r="O151" s="58"/>
      <c r="P151" s="55"/>
      <c r="Q151" s="61" t="s">
        <v>410</v>
      </c>
      <c r="R151" s="50">
        <v>1029.3699999999999</v>
      </c>
      <c r="S151" s="51">
        <f>IF(OR($H151="",$I151="",$R151=""),"",$R151*Precios!$B$5+$H151*Precios!$B$6+$I151*Precios!$B$7)</f>
        <v>269535.2</v>
      </c>
      <c r="T151" s="52">
        <f>Precios_v2!L162</f>
        <v>272000</v>
      </c>
    </row>
    <row r="152" spans="1:20" ht="15.75" customHeight="1" x14ac:dyDescent="0.25">
      <c r="A152" s="60" t="s">
        <v>411</v>
      </c>
      <c r="B152" s="54" t="s">
        <v>82</v>
      </c>
      <c r="C152" s="55" t="s">
        <v>361</v>
      </c>
      <c r="D152" s="55">
        <v>1</v>
      </c>
      <c r="E152" s="55" t="s">
        <v>70</v>
      </c>
      <c r="F152" s="56">
        <f>IFERROR(VLOOKUP($B152,Tipologias!$A$4:$V$8,5,0),"")</f>
        <v>2</v>
      </c>
      <c r="G152" s="56">
        <f>IFERROR(VLOOKUP($B152,Tipologias!$A$4:$V$8,6,0),"")</f>
        <v>2</v>
      </c>
      <c r="H152" s="57">
        <f>IFERROR(VLOOKUP($B152,Tipologias!$A$4:$V$8,9,0),"")</f>
        <v>94.789000000000001</v>
      </c>
      <c r="I152" s="57">
        <f>IFERROR(VLOOKUP($B152,Tipologias!$A$4:$V$8,10,0),"")</f>
        <v>83.65</v>
      </c>
      <c r="J152" s="57">
        <f>IFERROR(VLOOKUP($B152,Tipologias!$A$4:$V$8,16,0),"")</f>
        <v>195.56400000000002</v>
      </c>
      <c r="K152" s="55" t="s">
        <v>114</v>
      </c>
      <c r="L152" s="55"/>
      <c r="M152" s="58">
        <f>IFERROR(VLOOKUP($B152,Tipologias!$A$4:$V$8,19,0),"")</f>
        <v>0</v>
      </c>
      <c r="N152" s="58">
        <f t="shared" si="2"/>
        <v>0</v>
      </c>
      <c r="O152" s="58"/>
      <c r="P152" s="55"/>
      <c r="Q152" s="61" t="s">
        <v>412</v>
      </c>
      <c r="R152" s="50">
        <v>716.35</v>
      </c>
      <c r="S152" s="51">
        <f>IF(OR($H152="",$I152="",$R152=""),"",$R152*Precios!$B$5+$H152*Precios!$B$6+$I152*Precios!$B$7)</f>
        <v>260144.6</v>
      </c>
      <c r="T152" s="52">
        <f>Precios_v2!L163</f>
        <v>271000</v>
      </c>
    </row>
    <row r="153" spans="1:20" ht="15.75" customHeight="1" x14ac:dyDescent="0.25">
      <c r="A153" s="60" t="s">
        <v>413</v>
      </c>
      <c r="B153" s="54" t="s">
        <v>82</v>
      </c>
      <c r="C153" s="55" t="s">
        <v>361</v>
      </c>
      <c r="D153" s="55">
        <v>1</v>
      </c>
      <c r="E153" s="55" t="s">
        <v>70</v>
      </c>
      <c r="F153" s="56">
        <f>IFERROR(VLOOKUP($B153,Tipologias!$A$4:$V$8,5,0),"")</f>
        <v>2</v>
      </c>
      <c r="G153" s="56">
        <f>IFERROR(VLOOKUP($B153,Tipologias!$A$4:$V$8,6,0),"")</f>
        <v>2</v>
      </c>
      <c r="H153" s="57">
        <f>IFERROR(VLOOKUP($B153,Tipologias!$A$4:$V$8,9,0),"")</f>
        <v>94.789000000000001</v>
      </c>
      <c r="I153" s="57">
        <f>IFERROR(VLOOKUP($B153,Tipologias!$A$4:$V$8,10,0),"")</f>
        <v>83.65</v>
      </c>
      <c r="J153" s="57">
        <f>IFERROR(VLOOKUP($B153,Tipologias!$A$4:$V$8,16,0),"")</f>
        <v>195.56400000000002</v>
      </c>
      <c r="K153" s="55" t="s">
        <v>114</v>
      </c>
      <c r="L153" s="55"/>
      <c r="M153" s="58">
        <f>IFERROR(VLOOKUP($B153,Tipologias!$A$4:$V$8,19,0),"")</f>
        <v>0</v>
      </c>
      <c r="N153" s="58">
        <f t="shared" si="2"/>
        <v>0</v>
      </c>
      <c r="O153" s="58"/>
      <c r="P153" s="55"/>
      <c r="Q153" s="61" t="s">
        <v>414</v>
      </c>
      <c r="R153" s="50">
        <v>699.55</v>
      </c>
      <c r="S153" s="51">
        <f>IF(OR($H153="",$I153="",$R153=""),"",$R153*Precios!$B$5+$H153*Precios!$B$6+$I153*Precios!$B$7)</f>
        <v>259640.6</v>
      </c>
      <c r="T153" s="52">
        <f>Precios_v2!L164</f>
        <v>266000</v>
      </c>
    </row>
    <row r="154" spans="1:20" ht="15.75" customHeight="1" x14ac:dyDescent="0.25">
      <c r="A154" s="60" t="s">
        <v>415</v>
      </c>
      <c r="B154" s="54" t="s">
        <v>82</v>
      </c>
      <c r="C154" s="55" t="s">
        <v>361</v>
      </c>
      <c r="D154" s="55">
        <v>1</v>
      </c>
      <c r="E154" s="55" t="s">
        <v>70</v>
      </c>
      <c r="F154" s="56">
        <f>IFERROR(VLOOKUP($B154,Tipologias!$A$4:$V$8,5,0),"")</f>
        <v>2</v>
      </c>
      <c r="G154" s="56">
        <f>IFERROR(VLOOKUP($B154,Tipologias!$A$4:$V$8,6,0),"")</f>
        <v>2</v>
      </c>
      <c r="H154" s="57">
        <f>IFERROR(VLOOKUP($B154,Tipologias!$A$4:$V$8,9,0),"")</f>
        <v>94.789000000000001</v>
      </c>
      <c r="I154" s="57">
        <f>IFERROR(VLOOKUP($B154,Tipologias!$A$4:$V$8,10,0),"")</f>
        <v>83.65</v>
      </c>
      <c r="J154" s="57">
        <f>IFERROR(VLOOKUP($B154,Tipologias!$A$4:$V$8,16,0),"")</f>
        <v>195.56400000000002</v>
      </c>
      <c r="K154" s="55" t="s">
        <v>114</v>
      </c>
      <c r="L154" s="55"/>
      <c r="M154" s="58">
        <f>IFERROR(VLOOKUP($B154,Tipologias!$A$4:$V$8,19,0),"")</f>
        <v>0</v>
      </c>
      <c r="N154" s="58">
        <f t="shared" si="2"/>
        <v>0</v>
      </c>
      <c r="O154" s="58"/>
      <c r="P154" s="55"/>
      <c r="Q154" s="61" t="s">
        <v>416</v>
      </c>
      <c r="R154" s="50">
        <v>762.09</v>
      </c>
      <c r="S154" s="51">
        <f>IF(OR($H154="",$I154="",$R154=""),"",$R154*Precios!$B$5+$H154*Precios!$B$6+$I154*Precios!$B$7)</f>
        <v>261516.80000000002</v>
      </c>
      <c r="T154" s="52">
        <f>Precios_v2!L165</f>
        <v>274000</v>
      </c>
    </row>
    <row r="155" spans="1:20" ht="15.75" customHeight="1" x14ac:dyDescent="0.25">
      <c r="A155" s="60" t="s">
        <v>417</v>
      </c>
      <c r="B155" s="54" t="s">
        <v>82</v>
      </c>
      <c r="C155" s="55" t="s">
        <v>361</v>
      </c>
      <c r="D155" s="55">
        <v>1</v>
      </c>
      <c r="E155" s="55" t="s">
        <v>70</v>
      </c>
      <c r="F155" s="56">
        <f>IFERROR(VLOOKUP($B155,Tipologias!$A$4:$V$8,5,0),"")</f>
        <v>2</v>
      </c>
      <c r="G155" s="56">
        <f>IFERROR(VLOOKUP($B155,Tipologias!$A$4:$V$8,6,0),"")</f>
        <v>2</v>
      </c>
      <c r="H155" s="57">
        <f>IFERROR(VLOOKUP($B155,Tipologias!$A$4:$V$8,9,0),"")</f>
        <v>94.789000000000001</v>
      </c>
      <c r="I155" s="57">
        <f>IFERROR(VLOOKUP($B155,Tipologias!$A$4:$V$8,10,0),"")</f>
        <v>83.65</v>
      </c>
      <c r="J155" s="57">
        <f>IFERROR(VLOOKUP($B155,Tipologias!$A$4:$V$8,16,0),"")</f>
        <v>195.56400000000002</v>
      </c>
      <c r="K155" s="55" t="s">
        <v>114</v>
      </c>
      <c r="L155" s="55"/>
      <c r="M155" s="58">
        <f>IFERROR(VLOOKUP($B155,Tipologias!$A$4:$V$8,19,0),"")</f>
        <v>0</v>
      </c>
      <c r="N155" s="58">
        <f t="shared" si="2"/>
        <v>0</v>
      </c>
      <c r="O155" s="58"/>
      <c r="P155" s="55"/>
      <c r="Q155" s="61" t="s">
        <v>418</v>
      </c>
      <c r="R155" s="50">
        <v>676.39</v>
      </c>
      <c r="S155" s="51">
        <f>IF(OR($H155="",$I155="",$R155=""),"",$R155*Precios!$B$5+$H155*Precios!$B$6+$I155*Precios!$B$7)</f>
        <v>258945.80000000002</v>
      </c>
      <c r="T155" s="52">
        <f>Precios_v2!L166</f>
        <v>281000</v>
      </c>
    </row>
    <row r="156" spans="1:20" ht="15.75" customHeight="1" x14ac:dyDescent="0.25">
      <c r="A156" s="60" t="s">
        <v>419</v>
      </c>
      <c r="B156" s="54" t="s">
        <v>82</v>
      </c>
      <c r="C156" s="55" t="s">
        <v>361</v>
      </c>
      <c r="D156" s="55">
        <v>1</v>
      </c>
      <c r="E156" s="55" t="s">
        <v>70</v>
      </c>
      <c r="F156" s="56">
        <f>IFERROR(VLOOKUP($B156,Tipologias!$A$4:$V$8,5,0),"")</f>
        <v>2</v>
      </c>
      <c r="G156" s="56">
        <f>IFERROR(VLOOKUP($B156,Tipologias!$A$4:$V$8,6,0),"")</f>
        <v>2</v>
      </c>
      <c r="H156" s="57">
        <f>IFERROR(VLOOKUP($B156,Tipologias!$A$4:$V$8,9,0),"")</f>
        <v>94.789000000000001</v>
      </c>
      <c r="I156" s="57">
        <f>IFERROR(VLOOKUP($B156,Tipologias!$A$4:$V$8,10,0),"")</f>
        <v>83.65</v>
      </c>
      <c r="J156" s="57">
        <f>IFERROR(VLOOKUP($B156,Tipologias!$A$4:$V$8,16,0),"")</f>
        <v>195.56400000000002</v>
      </c>
      <c r="K156" s="55" t="s">
        <v>114</v>
      </c>
      <c r="L156" s="55"/>
      <c r="M156" s="58">
        <f>IFERROR(VLOOKUP($B156,Tipologias!$A$4:$V$8,19,0),"")</f>
        <v>0</v>
      </c>
      <c r="N156" s="58">
        <f t="shared" si="2"/>
        <v>0</v>
      </c>
      <c r="O156" s="58"/>
      <c r="P156" s="55"/>
      <c r="Q156" s="61" t="s">
        <v>420</v>
      </c>
      <c r="R156" s="50">
        <v>950.44</v>
      </c>
      <c r="S156" s="51">
        <f>IF(OR($H156="",$I156="",$R156=""),"",$R156*Precios!$B$5+$H156*Precios!$B$6+$I156*Precios!$B$7)</f>
        <v>267167.30000000005</v>
      </c>
      <c r="T156" s="52">
        <f>Precios_v2!L167</f>
        <v>274000</v>
      </c>
    </row>
    <row r="157" spans="1:20" ht="15.75" customHeight="1" x14ac:dyDescent="0.25">
      <c r="A157" s="60" t="s">
        <v>421</v>
      </c>
      <c r="B157" s="54" t="s">
        <v>87</v>
      </c>
      <c r="C157" s="55" t="s">
        <v>422</v>
      </c>
      <c r="D157" s="55">
        <v>2</v>
      </c>
      <c r="E157" s="55" t="s">
        <v>70</v>
      </c>
      <c r="F157" s="56">
        <f>IFERROR(VLOOKUP($B157,Tipologias!$A$4:$V$8,5,0),"")</f>
        <v>3</v>
      </c>
      <c r="G157" s="56">
        <f>IFERROR(VLOOKUP($B157,Tipologias!$A$4:$V$8,6,0),"")</f>
        <v>3</v>
      </c>
      <c r="H157" s="57">
        <f>IFERROR(VLOOKUP($B157,Tipologias!$A$4:$V$8,9,0),"")</f>
        <v>130.04400000000001</v>
      </c>
      <c r="I157" s="57">
        <f>IFERROR(VLOOKUP($B157,Tipologias!$A$4:$V$8,10,0),"")</f>
        <v>91.53</v>
      </c>
      <c r="J157" s="57">
        <f>IFERROR(VLOOKUP($B157,Tipologias!$A$4:$V$8,16,0),"")</f>
        <v>238.62400000000002</v>
      </c>
      <c r="K157" s="55" t="s">
        <v>114</v>
      </c>
      <c r="L157" s="55"/>
      <c r="M157" s="58">
        <f>IFERROR(VLOOKUP($B157,Tipologias!$A$4:$V$8,19,0),"")</f>
        <v>0</v>
      </c>
      <c r="N157" s="58">
        <f t="shared" si="2"/>
        <v>0</v>
      </c>
      <c r="O157" s="58"/>
      <c r="P157" s="55"/>
      <c r="Q157" s="61" t="s">
        <v>423</v>
      </c>
      <c r="R157" s="50">
        <v>526.04</v>
      </c>
      <c r="S157" s="51">
        <f>IF(OR($H157="",$I157="",$R157=""),"",$R157*Precios!$B$5+$H157*Precios!$B$6+$I157*Precios!$B$7)</f>
        <v>326935.80000000005</v>
      </c>
      <c r="T157" s="52">
        <f>Precios_v2!L168</f>
        <v>336000</v>
      </c>
    </row>
    <row r="158" spans="1:20" ht="15.75" customHeight="1" x14ac:dyDescent="0.25">
      <c r="A158" s="60" t="s">
        <v>424</v>
      </c>
      <c r="B158" s="54" t="s">
        <v>87</v>
      </c>
      <c r="C158" s="55" t="s">
        <v>422</v>
      </c>
      <c r="D158" s="55">
        <v>2</v>
      </c>
      <c r="E158" s="55" t="s">
        <v>70</v>
      </c>
      <c r="F158" s="56">
        <f>IFERROR(VLOOKUP($B158,Tipologias!$A$4:$V$8,5,0),"")</f>
        <v>3</v>
      </c>
      <c r="G158" s="56">
        <f>IFERROR(VLOOKUP($B158,Tipologias!$A$4:$V$8,6,0),"")</f>
        <v>3</v>
      </c>
      <c r="H158" s="57">
        <f>IFERROR(VLOOKUP($B158,Tipologias!$A$4:$V$8,9,0),"")</f>
        <v>130.04400000000001</v>
      </c>
      <c r="I158" s="57">
        <f>IFERROR(VLOOKUP($B158,Tipologias!$A$4:$V$8,10,0),"")</f>
        <v>91.53</v>
      </c>
      <c r="J158" s="57">
        <f>IFERROR(VLOOKUP($B158,Tipologias!$A$4:$V$8,16,0),"")</f>
        <v>238.62400000000002</v>
      </c>
      <c r="K158" s="55" t="s">
        <v>114</v>
      </c>
      <c r="L158" s="55"/>
      <c r="M158" s="58">
        <f>IFERROR(VLOOKUP($B158,Tipologias!$A$4:$V$8,19,0),"")</f>
        <v>0</v>
      </c>
      <c r="N158" s="58">
        <f t="shared" si="2"/>
        <v>0</v>
      </c>
      <c r="O158" s="58"/>
      <c r="P158" s="55"/>
      <c r="Q158" s="61" t="s">
        <v>425</v>
      </c>
      <c r="R158" s="50">
        <v>570.59</v>
      </c>
      <c r="S158" s="51">
        <f>IF(OR($H158="",$I158="",$R158=""),"",$R158*Precios!$B$5+$H158*Precios!$B$6+$I158*Precios!$B$7)</f>
        <v>328272.30000000005</v>
      </c>
      <c r="T158" s="52">
        <f>Precios_v2!L169</f>
        <v>342000</v>
      </c>
    </row>
    <row r="159" spans="1:20" ht="15.75" customHeight="1" x14ac:dyDescent="0.25">
      <c r="A159" s="60" t="s">
        <v>426</v>
      </c>
      <c r="B159" s="54" t="s">
        <v>87</v>
      </c>
      <c r="C159" s="55" t="s">
        <v>422</v>
      </c>
      <c r="D159" s="55">
        <v>2</v>
      </c>
      <c r="E159" s="55" t="s">
        <v>70</v>
      </c>
      <c r="F159" s="56">
        <f>IFERROR(VLOOKUP($B159,Tipologias!$A$4:$V$8,5,0),"")</f>
        <v>3</v>
      </c>
      <c r="G159" s="56">
        <f>IFERROR(VLOOKUP($B159,Tipologias!$A$4:$V$8,6,0),"")</f>
        <v>3</v>
      </c>
      <c r="H159" s="57">
        <f>IFERROR(VLOOKUP($B159,Tipologias!$A$4:$V$8,9,0),"")</f>
        <v>130.04400000000001</v>
      </c>
      <c r="I159" s="57">
        <f>IFERROR(VLOOKUP($B159,Tipologias!$A$4:$V$8,10,0),"")</f>
        <v>91.53</v>
      </c>
      <c r="J159" s="57">
        <f>IFERROR(VLOOKUP($B159,Tipologias!$A$4:$V$8,16,0),"")</f>
        <v>238.62400000000002</v>
      </c>
      <c r="K159" s="55" t="s">
        <v>114</v>
      </c>
      <c r="L159" s="55"/>
      <c r="M159" s="58">
        <f>IFERROR(VLOOKUP($B159,Tipologias!$A$4:$V$8,19,0),"")</f>
        <v>0</v>
      </c>
      <c r="N159" s="58">
        <f t="shared" si="2"/>
        <v>0</v>
      </c>
      <c r="O159" s="58"/>
      <c r="P159" s="55"/>
      <c r="Q159" s="61" t="s">
        <v>427</v>
      </c>
      <c r="R159" s="50">
        <v>573.53</v>
      </c>
      <c r="S159" s="51">
        <f>IF(OR($H159="",$I159="",$R159=""),"",$R159*Precios!$B$5+$H159*Precios!$B$6+$I159*Precios!$B$7)</f>
        <v>328360.50000000006</v>
      </c>
      <c r="T159" s="52">
        <f>Precios_v2!L170</f>
        <v>332000</v>
      </c>
    </row>
    <row r="160" spans="1:20" ht="15.75" customHeight="1" x14ac:dyDescent="0.25">
      <c r="A160" s="60" t="s">
        <v>428</v>
      </c>
      <c r="B160" s="54" t="s">
        <v>87</v>
      </c>
      <c r="C160" s="55" t="s">
        <v>422</v>
      </c>
      <c r="D160" s="55">
        <v>2</v>
      </c>
      <c r="E160" s="55" t="s">
        <v>70</v>
      </c>
      <c r="F160" s="56">
        <f>IFERROR(VLOOKUP($B160,Tipologias!$A$4:$V$8,5,0),"")</f>
        <v>3</v>
      </c>
      <c r="G160" s="56">
        <f>IFERROR(VLOOKUP($B160,Tipologias!$A$4:$V$8,6,0),"")</f>
        <v>3</v>
      </c>
      <c r="H160" s="57">
        <f>IFERROR(VLOOKUP($B160,Tipologias!$A$4:$V$8,9,0),"")</f>
        <v>130.04400000000001</v>
      </c>
      <c r="I160" s="57">
        <f>IFERROR(VLOOKUP($B160,Tipologias!$A$4:$V$8,10,0),"")</f>
        <v>91.53</v>
      </c>
      <c r="J160" s="57">
        <f>IFERROR(VLOOKUP($B160,Tipologias!$A$4:$V$8,16,0),"")</f>
        <v>238.62400000000002</v>
      </c>
      <c r="K160" s="55" t="s">
        <v>114</v>
      </c>
      <c r="L160" s="55"/>
      <c r="M160" s="58">
        <f>IFERROR(VLOOKUP($B160,Tipologias!$A$4:$V$8,19,0),"")</f>
        <v>0</v>
      </c>
      <c r="N160" s="58">
        <f t="shared" si="2"/>
        <v>0</v>
      </c>
      <c r="O160" s="58"/>
      <c r="P160" s="55"/>
      <c r="Q160" s="61" t="s">
        <v>429</v>
      </c>
      <c r="R160" s="50">
        <v>756.24</v>
      </c>
      <c r="S160" s="51">
        <f>IF(OR($H160="",$I160="",$R160=""),"",$R160*Precios!$B$5+$H160*Precios!$B$6+$I160*Precios!$B$7)</f>
        <v>333841.80000000005</v>
      </c>
      <c r="T160" s="52">
        <f>Precios_v2!L171</f>
        <v>314000</v>
      </c>
    </row>
    <row r="161" spans="1:20" ht="15.75" customHeight="1" x14ac:dyDescent="0.25">
      <c r="A161" s="60" t="s">
        <v>430</v>
      </c>
      <c r="B161" s="54" t="s">
        <v>87</v>
      </c>
      <c r="C161" s="55" t="s">
        <v>422</v>
      </c>
      <c r="D161" s="55">
        <v>2</v>
      </c>
      <c r="E161" s="55" t="s">
        <v>70</v>
      </c>
      <c r="F161" s="56">
        <f>IFERROR(VLOOKUP($B161,Tipologias!$A$4:$V$8,5,0),"")</f>
        <v>3</v>
      </c>
      <c r="G161" s="56">
        <f>IFERROR(VLOOKUP($B161,Tipologias!$A$4:$V$8,6,0),"")</f>
        <v>3</v>
      </c>
      <c r="H161" s="57">
        <f>IFERROR(VLOOKUP($B161,Tipologias!$A$4:$V$8,9,0),"")</f>
        <v>130.04400000000001</v>
      </c>
      <c r="I161" s="57">
        <f>IFERROR(VLOOKUP($B161,Tipologias!$A$4:$V$8,10,0),"")</f>
        <v>91.53</v>
      </c>
      <c r="J161" s="57">
        <f>IFERROR(VLOOKUP($B161,Tipologias!$A$4:$V$8,16,0),"")</f>
        <v>238.62400000000002</v>
      </c>
      <c r="K161" s="55" t="s">
        <v>114</v>
      </c>
      <c r="L161" s="55"/>
      <c r="M161" s="58">
        <f>IFERROR(VLOOKUP($B161,Tipologias!$A$4:$V$8,19,0),"")</f>
        <v>0</v>
      </c>
      <c r="N161" s="58">
        <f t="shared" si="2"/>
        <v>0</v>
      </c>
      <c r="O161" s="58"/>
      <c r="P161" s="55"/>
      <c r="Q161" s="61" t="s">
        <v>431</v>
      </c>
      <c r="R161" s="50">
        <v>517.65</v>
      </c>
      <c r="S161" s="51">
        <f>IF(OR($H161="",$I161="",$R161=""),"",$R161*Precios!$B$5+$H161*Precios!$B$6+$I161*Precios!$B$7)</f>
        <v>326684.10000000003</v>
      </c>
      <c r="T161" s="52">
        <f>Precios_v2!L172</f>
        <v>332000</v>
      </c>
    </row>
    <row r="162" spans="1:20" ht="15.75" customHeight="1" x14ac:dyDescent="0.25">
      <c r="A162" s="60" t="s">
        <v>432</v>
      </c>
      <c r="B162" s="54" t="s">
        <v>87</v>
      </c>
      <c r="C162" s="55" t="s">
        <v>422</v>
      </c>
      <c r="D162" s="55">
        <v>2</v>
      </c>
      <c r="E162" s="55" t="s">
        <v>70</v>
      </c>
      <c r="F162" s="56">
        <f>IFERROR(VLOOKUP($B162,Tipologias!$A$4:$V$8,5,0),"")</f>
        <v>3</v>
      </c>
      <c r="G162" s="56">
        <f>IFERROR(VLOOKUP($B162,Tipologias!$A$4:$V$8,6,0),"")</f>
        <v>3</v>
      </c>
      <c r="H162" s="57">
        <f>IFERROR(VLOOKUP($B162,Tipologias!$A$4:$V$8,9,0),"")</f>
        <v>130.04400000000001</v>
      </c>
      <c r="I162" s="57">
        <f>IFERROR(VLOOKUP($B162,Tipologias!$A$4:$V$8,10,0),"")</f>
        <v>91.53</v>
      </c>
      <c r="J162" s="57">
        <f>IFERROR(VLOOKUP($B162,Tipologias!$A$4:$V$8,16,0),"")</f>
        <v>238.62400000000002</v>
      </c>
      <c r="K162" s="55" t="s">
        <v>114</v>
      </c>
      <c r="L162" s="55"/>
      <c r="M162" s="58">
        <f>IFERROR(VLOOKUP($B162,Tipologias!$A$4:$V$8,19,0),"")</f>
        <v>0</v>
      </c>
      <c r="N162" s="58">
        <f t="shared" si="2"/>
        <v>0</v>
      </c>
      <c r="O162" s="58"/>
      <c r="P162" s="55"/>
      <c r="Q162" s="61" t="s">
        <v>433</v>
      </c>
      <c r="R162" s="50">
        <v>745.89</v>
      </c>
      <c r="S162" s="51">
        <f>IF(OR($H162="",$I162="",$R162=""),"",$R162*Precios!$B$5+$H162*Precios!$B$6+$I162*Precios!$B$7)</f>
        <v>333531.30000000005</v>
      </c>
      <c r="T162" s="52">
        <f>Precios_v2!L173</f>
        <v>347000</v>
      </c>
    </row>
    <row r="163" spans="1:20" ht="15.75" customHeight="1" x14ac:dyDescent="0.25">
      <c r="A163" s="60" t="s">
        <v>434</v>
      </c>
      <c r="B163" s="54" t="s">
        <v>87</v>
      </c>
      <c r="C163" s="55" t="s">
        <v>422</v>
      </c>
      <c r="D163" s="55">
        <v>2</v>
      </c>
      <c r="E163" s="55" t="s">
        <v>70</v>
      </c>
      <c r="F163" s="56">
        <f>IFERROR(VLOOKUP($B163,Tipologias!$A$4:$V$8,5,0),"")</f>
        <v>3</v>
      </c>
      <c r="G163" s="56">
        <f>IFERROR(VLOOKUP($B163,Tipologias!$A$4:$V$8,6,0),"")</f>
        <v>3</v>
      </c>
      <c r="H163" s="57">
        <f>IFERROR(VLOOKUP($B163,Tipologias!$A$4:$V$8,9,0),"")</f>
        <v>130.04400000000001</v>
      </c>
      <c r="I163" s="57">
        <f>IFERROR(VLOOKUP($B163,Tipologias!$A$4:$V$8,10,0),"")</f>
        <v>91.53</v>
      </c>
      <c r="J163" s="57">
        <f>IFERROR(VLOOKUP($B163,Tipologias!$A$4:$V$8,16,0),"")</f>
        <v>238.62400000000002</v>
      </c>
      <c r="K163" s="55" t="s">
        <v>114</v>
      </c>
      <c r="L163" s="55"/>
      <c r="M163" s="58">
        <f>IFERROR(VLOOKUP($B163,Tipologias!$A$4:$V$8,19,0),"")</f>
        <v>0</v>
      </c>
      <c r="N163" s="58">
        <f t="shared" si="2"/>
        <v>0</v>
      </c>
      <c r="O163" s="58"/>
      <c r="P163" s="55"/>
      <c r="Q163" s="61" t="s">
        <v>435</v>
      </c>
      <c r="R163" s="50">
        <v>765.82</v>
      </c>
      <c r="S163" s="51">
        <f>IF(OR($H163="",$I163="",$R163=""),"",$R163*Precios!$B$5+$H163*Precios!$B$6+$I163*Precios!$B$7)</f>
        <v>334129.2</v>
      </c>
      <c r="T163" s="52">
        <f>Precios_v2!L174</f>
        <v>334000</v>
      </c>
    </row>
    <row r="164" spans="1:20" ht="15.75" customHeight="1" x14ac:dyDescent="0.25">
      <c r="A164" s="60" t="s">
        <v>436</v>
      </c>
      <c r="B164" s="54" t="s">
        <v>87</v>
      </c>
      <c r="C164" s="55" t="s">
        <v>422</v>
      </c>
      <c r="D164" s="55">
        <v>2</v>
      </c>
      <c r="E164" s="55" t="s">
        <v>70</v>
      </c>
      <c r="F164" s="56">
        <f>IFERROR(VLOOKUP($B164,Tipologias!$A$4:$V$8,5,0),"")</f>
        <v>3</v>
      </c>
      <c r="G164" s="56">
        <f>IFERROR(VLOOKUP($B164,Tipologias!$A$4:$V$8,6,0),"")</f>
        <v>3</v>
      </c>
      <c r="H164" s="57">
        <f>IFERROR(VLOOKUP($B164,Tipologias!$A$4:$V$8,9,0),"")</f>
        <v>130.04400000000001</v>
      </c>
      <c r="I164" s="57">
        <f>IFERROR(VLOOKUP($B164,Tipologias!$A$4:$V$8,10,0),"")</f>
        <v>91.53</v>
      </c>
      <c r="J164" s="57">
        <f>IFERROR(VLOOKUP($B164,Tipologias!$A$4:$V$8,16,0),"")</f>
        <v>238.62400000000002</v>
      </c>
      <c r="K164" s="55" t="s">
        <v>114</v>
      </c>
      <c r="L164" s="55"/>
      <c r="M164" s="58">
        <f>IFERROR(VLOOKUP($B164,Tipologias!$A$4:$V$8,19,0),"")</f>
        <v>0</v>
      </c>
      <c r="N164" s="58">
        <f t="shared" si="2"/>
        <v>0</v>
      </c>
      <c r="O164" s="58"/>
      <c r="P164" s="55"/>
      <c r="Q164" s="61" t="s">
        <v>437</v>
      </c>
      <c r="R164" s="50">
        <v>648.64</v>
      </c>
      <c r="S164" s="51">
        <f>IF(OR($H164="",$I164="",$R164=""),"",$R164*Precios!$B$5+$H164*Precios!$B$6+$I164*Precios!$B$7)</f>
        <v>330613.80000000005</v>
      </c>
      <c r="T164" s="52">
        <f>Precios_v2!L175</f>
        <v>343000</v>
      </c>
    </row>
    <row r="165" spans="1:20" ht="15.75" customHeight="1" x14ac:dyDescent="0.25">
      <c r="A165" s="60" t="s">
        <v>438</v>
      </c>
      <c r="B165" s="54" t="s">
        <v>87</v>
      </c>
      <c r="C165" s="55" t="s">
        <v>422</v>
      </c>
      <c r="D165" s="55">
        <v>2</v>
      </c>
      <c r="E165" s="55" t="s">
        <v>70</v>
      </c>
      <c r="F165" s="56">
        <f>IFERROR(VLOOKUP($B165,Tipologias!$A$4:$V$8,5,0),"")</f>
        <v>3</v>
      </c>
      <c r="G165" s="56">
        <f>IFERROR(VLOOKUP($B165,Tipologias!$A$4:$V$8,6,0),"")</f>
        <v>3</v>
      </c>
      <c r="H165" s="57">
        <f>IFERROR(VLOOKUP($B165,Tipologias!$A$4:$V$8,9,0),"")</f>
        <v>130.04400000000001</v>
      </c>
      <c r="I165" s="57">
        <f>IFERROR(VLOOKUP($B165,Tipologias!$A$4:$V$8,10,0),"")</f>
        <v>91.53</v>
      </c>
      <c r="J165" s="57">
        <f>IFERROR(VLOOKUP($B165,Tipologias!$A$4:$V$8,16,0),"")</f>
        <v>238.62400000000002</v>
      </c>
      <c r="K165" s="55" t="s">
        <v>114</v>
      </c>
      <c r="L165" s="55"/>
      <c r="M165" s="58">
        <f>IFERROR(VLOOKUP($B165,Tipologias!$A$4:$V$8,19,0),"")</f>
        <v>0</v>
      </c>
      <c r="N165" s="58">
        <f t="shared" si="2"/>
        <v>0</v>
      </c>
      <c r="O165" s="58"/>
      <c r="P165" s="55"/>
      <c r="Q165" s="61" t="s">
        <v>439</v>
      </c>
      <c r="R165" s="50">
        <v>723.32</v>
      </c>
      <c r="S165" s="51">
        <f>IF(OR($H165="",$I165="",$R165=""),"",$R165*Precios!$B$5+$H165*Precios!$B$6+$I165*Precios!$B$7)</f>
        <v>332854.2</v>
      </c>
      <c r="T165" s="52">
        <f>Precios_v2!L176</f>
        <v>347000</v>
      </c>
    </row>
    <row r="166" spans="1:20" ht="15.75" customHeight="1" x14ac:dyDescent="0.25">
      <c r="A166" s="60" t="s">
        <v>440</v>
      </c>
      <c r="B166" s="54" t="s">
        <v>87</v>
      </c>
      <c r="C166" s="55" t="s">
        <v>422</v>
      </c>
      <c r="D166" s="55">
        <v>2</v>
      </c>
      <c r="E166" s="55" t="s">
        <v>70</v>
      </c>
      <c r="F166" s="56">
        <f>IFERROR(VLOOKUP($B166,Tipologias!$A$4:$V$8,5,0),"")</f>
        <v>3</v>
      </c>
      <c r="G166" s="56">
        <f>IFERROR(VLOOKUP($B166,Tipologias!$A$4:$V$8,6,0),"")</f>
        <v>3</v>
      </c>
      <c r="H166" s="57">
        <f>IFERROR(VLOOKUP($B166,Tipologias!$A$4:$V$8,9,0),"")</f>
        <v>130.04400000000001</v>
      </c>
      <c r="I166" s="57">
        <f>IFERROR(VLOOKUP($B166,Tipologias!$A$4:$V$8,10,0),"")</f>
        <v>91.53</v>
      </c>
      <c r="J166" s="57">
        <f>IFERROR(VLOOKUP($B166,Tipologias!$A$4:$V$8,16,0),"")</f>
        <v>238.62400000000002</v>
      </c>
      <c r="K166" s="55" t="s">
        <v>114</v>
      </c>
      <c r="L166" s="55"/>
      <c r="M166" s="58">
        <f>IFERROR(VLOOKUP($B166,Tipologias!$A$4:$V$8,19,0),"")</f>
        <v>0</v>
      </c>
      <c r="N166" s="58">
        <f t="shared" si="2"/>
        <v>0</v>
      </c>
      <c r="O166" s="58"/>
      <c r="P166" s="55"/>
      <c r="Q166" s="61" t="s">
        <v>441</v>
      </c>
      <c r="R166" s="50">
        <v>644.47</v>
      </c>
      <c r="S166" s="51">
        <f>IF(OR($H166="",$I166="",$R166=""),"",$R166*Precios!$B$5+$H166*Precios!$B$6+$I166*Precios!$B$7)</f>
        <v>330488.7</v>
      </c>
      <c r="T166" s="52">
        <f>Precios_v2!L177</f>
        <v>362000</v>
      </c>
    </row>
    <row r="167" spans="1:20" ht="15.75" customHeight="1" x14ac:dyDescent="0.25">
      <c r="A167" s="60" t="s">
        <v>442</v>
      </c>
      <c r="B167" s="54" t="s">
        <v>87</v>
      </c>
      <c r="C167" s="55" t="s">
        <v>422</v>
      </c>
      <c r="D167" s="55">
        <v>2</v>
      </c>
      <c r="E167" s="55" t="s">
        <v>70</v>
      </c>
      <c r="F167" s="56">
        <f>IFERROR(VLOOKUP($B167,Tipologias!$A$4:$V$8,5,0),"")</f>
        <v>3</v>
      </c>
      <c r="G167" s="56">
        <f>IFERROR(VLOOKUP($B167,Tipologias!$A$4:$V$8,6,0),"")</f>
        <v>3</v>
      </c>
      <c r="H167" s="57">
        <f>IFERROR(VLOOKUP($B167,Tipologias!$A$4:$V$8,9,0),"")</f>
        <v>130.04400000000001</v>
      </c>
      <c r="I167" s="57">
        <f>IFERROR(VLOOKUP($B167,Tipologias!$A$4:$V$8,10,0),"")</f>
        <v>91.53</v>
      </c>
      <c r="J167" s="57">
        <f>IFERROR(VLOOKUP($B167,Tipologias!$A$4:$V$8,16,0),"")</f>
        <v>238.62400000000002</v>
      </c>
      <c r="K167" s="55" t="s">
        <v>114</v>
      </c>
      <c r="L167" s="55"/>
      <c r="M167" s="58">
        <f>IFERROR(VLOOKUP($B167,Tipologias!$A$4:$V$8,19,0),"")</f>
        <v>0</v>
      </c>
      <c r="N167" s="58">
        <f t="shared" si="2"/>
        <v>0</v>
      </c>
      <c r="O167" s="58"/>
      <c r="P167" s="55"/>
      <c r="Q167" s="61" t="s">
        <v>443</v>
      </c>
      <c r="R167" s="50">
        <v>599.96</v>
      </c>
      <c r="S167" s="51">
        <f>IF(OR($H167="",$I167="",$R167=""),"",$R167*Precios!$B$5+$H167*Precios!$B$6+$I167*Precios!$B$7)</f>
        <v>329153.40000000002</v>
      </c>
      <c r="T167" s="52">
        <f>Precios_v2!L178</f>
        <v>345000</v>
      </c>
    </row>
    <row r="168" spans="1:20" ht="15.75" customHeight="1" x14ac:dyDescent="0.25">
      <c r="A168" s="60" t="s">
        <v>444</v>
      </c>
      <c r="B168" s="54" t="s">
        <v>87</v>
      </c>
      <c r="C168" s="55" t="s">
        <v>422</v>
      </c>
      <c r="D168" s="55">
        <v>2</v>
      </c>
      <c r="E168" s="55" t="s">
        <v>70</v>
      </c>
      <c r="F168" s="56">
        <f>IFERROR(VLOOKUP($B168,Tipologias!$A$4:$V$8,5,0),"")</f>
        <v>3</v>
      </c>
      <c r="G168" s="56">
        <f>IFERROR(VLOOKUP($B168,Tipologias!$A$4:$V$8,6,0),"")</f>
        <v>3</v>
      </c>
      <c r="H168" s="57">
        <f>IFERROR(VLOOKUP($B168,Tipologias!$A$4:$V$8,9,0),"")</f>
        <v>130.04400000000001</v>
      </c>
      <c r="I168" s="57">
        <f>IFERROR(VLOOKUP($B168,Tipologias!$A$4:$V$8,10,0),"")</f>
        <v>91.53</v>
      </c>
      <c r="J168" s="57">
        <f>IFERROR(VLOOKUP($B168,Tipologias!$A$4:$V$8,16,0),"")</f>
        <v>238.62400000000002</v>
      </c>
      <c r="K168" s="55" t="s">
        <v>114</v>
      </c>
      <c r="L168" s="55"/>
      <c r="M168" s="58">
        <f>IFERROR(VLOOKUP($B168,Tipologias!$A$4:$V$8,19,0),"")</f>
        <v>0</v>
      </c>
      <c r="N168" s="58">
        <f t="shared" si="2"/>
        <v>0</v>
      </c>
      <c r="O168" s="58"/>
      <c r="P168" s="55"/>
      <c r="Q168" s="61" t="s">
        <v>445</v>
      </c>
      <c r="R168" s="50">
        <v>634.46</v>
      </c>
      <c r="S168" s="51">
        <f>IF(OR($H168="",$I168="",$R168=""),"",$R168*Precios!$B$5+$H168*Precios!$B$6+$I168*Precios!$B$7)</f>
        <v>330188.40000000002</v>
      </c>
      <c r="T168" s="52">
        <f>Precios_v2!L179</f>
        <v>356000</v>
      </c>
    </row>
    <row r="169" spans="1:20" ht="15.75" customHeight="1" x14ac:dyDescent="0.25">
      <c r="A169" s="60" t="s">
        <v>446</v>
      </c>
      <c r="B169" s="54" t="s">
        <v>87</v>
      </c>
      <c r="C169" s="55" t="s">
        <v>422</v>
      </c>
      <c r="D169" s="55">
        <v>2</v>
      </c>
      <c r="E169" s="55" t="s">
        <v>70</v>
      </c>
      <c r="F169" s="56">
        <f>IFERROR(VLOOKUP($B169,Tipologias!$A$4:$V$8,5,0),"")</f>
        <v>3</v>
      </c>
      <c r="G169" s="56">
        <f>IFERROR(VLOOKUP($B169,Tipologias!$A$4:$V$8,6,0),"")</f>
        <v>3</v>
      </c>
      <c r="H169" s="57">
        <f>IFERROR(VLOOKUP($B169,Tipologias!$A$4:$V$8,9,0),"")</f>
        <v>130.04400000000001</v>
      </c>
      <c r="I169" s="57">
        <f>IFERROR(VLOOKUP($B169,Tipologias!$A$4:$V$8,10,0),"")</f>
        <v>91.53</v>
      </c>
      <c r="J169" s="57">
        <f>IFERROR(VLOOKUP($B169,Tipologias!$A$4:$V$8,16,0),"")</f>
        <v>238.62400000000002</v>
      </c>
      <c r="K169" s="55" t="s">
        <v>114</v>
      </c>
      <c r="L169" s="55"/>
      <c r="M169" s="58">
        <f>IFERROR(VLOOKUP($B169,Tipologias!$A$4:$V$8,19,0),"")</f>
        <v>0</v>
      </c>
      <c r="N169" s="58">
        <f t="shared" si="2"/>
        <v>0</v>
      </c>
      <c r="O169" s="58"/>
      <c r="P169" s="55"/>
      <c r="Q169" s="61" t="s">
        <v>447</v>
      </c>
      <c r="R169" s="50">
        <v>761.65</v>
      </c>
      <c r="S169" s="51">
        <f>IF(OR($H169="",$I169="",$R169=""),"",$R169*Precios!$B$5+$H169*Precios!$B$6+$I169*Precios!$B$7)</f>
        <v>334004.10000000003</v>
      </c>
      <c r="T169" s="52">
        <f>Precios_v2!L180</f>
        <v>321000</v>
      </c>
    </row>
    <row r="170" spans="1:20" ht="15.75" customHeight="1" x14ac:dyDescent="0.25">
      <c r="A170" s="60" t="s">
        <v>448</v>
      </c>
      <c r="B170" s="54" t="s">
        <v>87</v>
      </c>
      <c r="C170" s="55" t="s">
        <v>422</v>
      </c>
      <c r="D170" s="55">
        <v>2</v>
      </c>
      <c r="E170" s="55" t="s">
        <v>70</v>
      </c>
      <c r="F170" s="56">
        <f>IFERROR(VLOOKUP($B170,Tipologias!$A$4:$V$8,5,0),"")</f>
        <v>3</v>
      </c>
      <c r="G170" s="56">
        <f>IFERROR(VLOOKUP($B170,Tipologias!$A$4:$V$8,6,0),"")</f>
        <v>3</v>
      </c>
      <c r="H170" s="57">
        <f>IFERROR(VLOOKUP($B170,Tipologias!$A$4:$V$8,9,0),"")</f>
        <v>130.04400000000001</v>
      </c>
      <c r="I170" s="57">
        <f>IFERROR(VLOOKUP($B170,Tipologias!$A$4:$V$8,10,0),"")</f>
        <v>91.53</v>
      </c>
      <c r="J170" s="57">
        <f>IFERROR(VLOOKUP($B170,Tipologias!$A$4:$V$8,16,0),"")</f>
        <v>238.62400000000002</v>
      </c>
      <c r="K170" s="55" t="s">
        <v>114</v>
      </c>
      <c r="L170" s="55"/>
      <c r="M170" s="58">
        <f>IFERROR(VLOOKUP($B170,Tipologias!$A$4:$V$8,19,0),"")</f>
        <v>0</v>
      </c>
      <c r="N170" s="58">
        <f t="shared" si="2"/>
        <v>0</v>
      </c>
      <c r="O170" s="58"/>
      <c r="P170" s="55"/>
      <c r="Q170" s="61" t="s">
        <v>449</v>
      </c>
      <c r="R170" s="50">
        <v>670.21</v>
      </c>
      <c r="S170" s="51">
        <f>IF(OR($H170="",$I170="",$R170=""),"",$R170*Precios!$B$5+$H170*Precios!$B$6+$I170*Precios!$B$7)</f>
        <v>331260.90000000002</v>
      </c>
      <c r="T170" s="52">
        <f>Precios_v2!L181</f>
        <v>350000</v>
      </c>
    </row>
    <row r="171" spans="1:20" ht="15.75" customHeight="1" x14ac:dyDescent="0.25">
      <c r="A171" s="60" t="s">
        <v>450</v>
      </c>
      <c r="B171" s="54" t="s">
        <v>87</v>
      </c>
      <c r="C171" s="55" t="s">
        <v>422</v>
      </c>
      <c r="D171" s="55">
        <v>2</v>
      </c>
      <c r="E171" s="55" t="s">
        <v>70</v>
      </c>
      <c r="F171" s="56">
        <f>IFERROR(VLOOKUP($B171,Tipologias!$A$4:$V$8,5,0),"")</f>
        <v>3</v>
      </c>
      <c r="G171" s="56">
        <f>IFERROR(VLOOKUP($B171,Tipologias!$A$4:$V$8,6,0),"")</f>
        <v>3</v>
      </c>
      <c r="H171" s="57">
        <f>IFERROR(VLOOKUP($B171,Tipologias!$A$4:$V$8,9,0),"")</f>
        <v>130.04400000000001</v>
      </c>
      <c r="I171" s="57">
        <f>IFERROR(VLOOKUP($B171,Tipologias!$A$4:$V$8,10,0),"")</f>
        <v>91.53</v>
      </c>
      <c r="J171" s="57">
        <f>IFERROR(VLOOKUP($B171,Tipologias!$A$4:$V$8,16,0),"")</f>
        <v>238.62400000000002</v>
      </c>
      <c r="K171" s="55" t="s">
        <v>114</v>
      </c>
      <c r="L171" s="55"/>
      <c r="M171" s="58">
        <f>IFERROR(VLOOKUP($B171,Tipologias!$A$4:$V$8,19,0),"")</f>
        <v>0</v>
      </c>
      <c r="N171" s="58">
        <f t="shared" si="2"/>
        <v>0</v>
      </c>
      <c r="O171" s="58"/>
      <c r="P171" s="55"/>
      <c r="Q171" s="61" t="s">
        <v>451</v>
      </c>
      <c r="R171" s="50">
        <v>656.4</v>
      </c>
      <c r="S171" s="51">
        <f>IF(OR($H171="",$I171="",$R171=""),"",$R171*Precios!$B$5+$H171*Precios!$B$6+$I171*Precios!$B$7)</f>
        <v>330846.60000000003</v>
      </c>
      <c r="T171" s="52">
        <f>Precios_v2!L182</f>
        <v>330000</v>
      </c>
    </row>
    <row r="172" spans="1:20" ht="15.75" customHeight="1" x14ac:dyDescent="0.25">
      <c r="A172" s="60" t="s">
        <v>452</v>
      </c>
      <c r="B172" s="54" t="s">
        <v>87</v>
      </c>
      <c r="C172" s="55" t="s">
        <v>422</v>
      </c>
      <c r="D172" s="55">
        <v>2</v>
      </c>
      <c r="E172" s="55" t="s">
        <v>70</v>
      </c>
      <c r="F172" s="56">
        <f>IFERROR(VLOOKUP($B172,Tipologias!$A$4:$V$8,5,0),"")</f>
        <v>3</v>
      </c>
      <c r="G172" s="56">
        <f>IFERROR(VLOOKUP($B172,Tipologias!$A$4:$V$8,6,0),"")</f>
        <v>3</v>
      </c>
      <c r="H172" s="57">
        <f>IFERROR(VLOOKUP($B172,Tipologias!$A$4:$V$8,9,0),"")</f>
        <v>130.04400000000001</v>
      </c>
      <c r="I172" s="57">
        <f>IFERROR(VLOOKUP($B172,Tipologias!$A$4:$V$8,10,0),"")</f>
        <v>91.53</v>
      </c>
      <c r="J172" s="57">
        <f>IFERROR(VLOOKUP($B172,Tipologias!$A$4:$V$8,16,0),"")</f>
        <v>238.62400000000002</v>
      </c>
      <c r="K172" s="55" t="s">
        <v>114</v>
      </c>
      <c r="L172" s="55"/>
      <c r="M172" s="58">
        <f>IFERROR(VLOOKUP($B172,Tipologias!$A$4:$V$8,19,0),"")</f>
        <v>0</v>
      </c>
      <c r="N172" s="58">
        <f t="shared" si="2"/>
        <v>0</v>
      </c>
      <c r="O172" s="58"/>
      <c r="P172" s="55"/>
      <c r="Q172" s="61" t="s">
        <v>453</v>
      </c>
      <c r="R172" s="50">
        <v>696.65</v>
      </c>
      <c r="S172" s="51">
        <f>IF(OR($H172="",$I172="",$R172=""),"",$R172*Precios!$B$5+$H172*Precios!$B$6+$I172*Precios!$B$7)</f>
        <v>332054.10000000003</v>
      </c>
      <c r="T172" s="52">
        <f>Precios_v2!L183</f>
        <v>337000</v>
      </c>
    </row>
    <row r="173" spans="1:20" ht="15.75" customHeight="1" x14ac:dyDescent="0.25">
      <c r="A173" s="60" t="s">
        <v>454</v>
      </c>
      <c r="B173" s="54" t="s">
        <v>87</v>
      </c>
      <c r="C173" s="55" t="s">
        <v>422</v>
      </c>
      <c r="D173" s="55">
        <v>2</v>
      </c>
      <c r="E173" s="55" t="s">
        <v>70</v>
      </c>
      <c r="F173" s="56">
        <f>IFERROR(VLOOKUP($B173,Tipologias!$A$4:$V$8,5,0),"")</f>
        <v>3</v>
      </c>
      <c r="G173" s="56">
        <f>IFERROR(VLOOKUP($B173,Tipologias!$A$4:$V$8,6,0),"")</f>
        <v>3</v>
      </c>
      <c r="H173" s="57">
        <f>IFERROR(VLOOKUP($B173,Tipologias!$A$4:$V$8,9,0),"")</f>
        <v>130.04400000000001</v>
      </c>
      <c r="I173" s="57">
        <f>IFERROR(VLOOKUP($B173,Tipologias!$A$4:$V$8,10,0),"")</f>
        <v>91.53</v>
      </c>
      <c r="J173" s="57">
        <f>IFERROR(VLOOKUP($B173,Tipologias!$A$4:$V$8,16,0),"")</f>
        <v>238.62400000000002</v>
      </c>
      <c r="K173" s="55" t="s">
        <v>114</v>
      </c>
      <c r="L173" s="55"/>
      <c r="M173" s="58">
        <f>IFERROR(VLOOKUP($B173,Tipologias!$A$4:$V$8,19,0),"")</f>
        <v>0</v>
      </c>
      <c r="N173" s="58">
        <f t="shared" si="2"/>
        <v>0</v>
      </c>
      <c r="O173" s="58"/>
      <c r="P173" s="55"/>
      <c r="Q173" s="61" t="s">
        <v>455</v>
      </c>
      <c r="R173" s="50">
        <v>559.99</v>
      </c>
      <c r="S173" s="51">
        <f>IF(OR($H173="",$I173="",$R173=""),"",$R173*Precios!$B$5+$H173*Precios!$B$6+$I173*Precios!$B$7)</f>
        <v>327954.30000000005</v>
      </c>
      <c r="T173" s="52">
        <f>Precios_v2!L184</f>
        <v>355000</v>
      </c>
    </row>
    <row r="174" spans="1:20" ht="15.75" customHeight="1" x14ac:dyDescent="0.25">
      <c r="A174" s="60" t="s">
        <v>456</v>
      </c>
      <c r="B174" s="54" t="s">
        <v>87</v>
      </c>
      <c r="C174" s="55" t="s">
        <v>422</v>
      </c>
      <c r="D174" s="55">
        <v>2</v>
      </c>
      <c r="E174" s="55" t="s">
        <v>70</v>
      </c>
      <c r="F174" s="56">
        <f>IFERROR(VLOOKUP($B174,Tipologias!$A$4:$V$8,5,0),"")</f>
        <v>3</v>
      </c>
      <c r="G174" s="56">
        <f>IFERROR(VLOOKUP($B174,Tipologias!$A$4:$V$8,6,0),"")</f>
        <v>3</v>
      </c>
      <c r="H174" s="57">
        <f>IFERROR(VLOOKUP($B174,Tipologias!$A$4:$V$8,9,0),"")</f>
        <v>130.04400000000001</v>
      </c>
      <c r="I174" s="57">
        <f>IFERROR(VLOOKUP($B174,Tipologias!$A$4:$V$8,10,0),"")</f>
        <v>91.53</v>
      </c>
      <c r="J174" s="57">
        <f>IFERROR(VLOOKUP($B174,Tipologias!$A$4:$V$8,16,0),"")</f>
        <v>238.62400000000002</v>
      </c>
      <c r="K174" s="55" t="s">
        <v>114</v>
      </c>
      <c r="L174" s="55"/>
      <c r="M174" s="58">
        <f>IFERROR(VLOOKUP($B174,Tipologias!$A$4:$V$8,19,0),"")</f>
        <v>0</v>
      </c>
      <c r="N174" s="58">
        <f t="shared" si="2"/>
        <v>0</v>
      </c>
      <c r="O174" s="58"/>
      <c r="P174" s="55"/>
      <c r="Q174" s="61" t="s">
        <v>457</v>
      </c>
      <c r="R174" s="50">
        <v>733.12</v>
      </c>
      <c r="S174" s="51">
        <f>IF(OR($H174="",$I174="",$R174=""),"",$R174*Precios!$B$5+$H174*Precios!$B$6+$I174*Precios!$B$7)</f>
        <v>333148.2</v>
      </c>
      <c r="T174" s="52">
        <f>Precios_v2!L185</f>
        <v>337000</v>
      </c>
    </row>
    <row r="175" spans="1:20" ht="15.75" customHeight="1" x14ac:dyDescent="0.25">
      <c r="A175" s="60" t="s">
        <v>458</v>
      </c>
      <c r="B175" s="54" t="s">
        <v>87</v>
      </c>
      <c r="C175" s="55" t="s">
        <v>422</v>
      </c>
      <c r="D175" s="55">
        <v>2</v>
      </c>
      <c r="E175" s="55" t="s">
        <v>70</v>
      </c>
      <c r="F175" s="56">
        <f>IFERROR(VLOOKUP($B175,Tipologias!$A$4:$V$8,5,0),"")</f>
        <v>3</v>
      </c>
      <c r="G175" s="56">
        <f>IFERROR(VLOOKUP($B175,Tipologias!$A$4:$V$8,6,0),"")</f>
        <v>3</v>
      </c>
      <c r="H175" s="57">
        <f>IFERROR(VLOOKUP($B175,Tipologias!$A$4:$V$8,9,0),"")</f>
        <v>130.04400000000001</v>
      </c>
      <c r="I175" s="57">
        <f>IFERROR(VLOOKUP($B175,Tipologias!$A$4:$V$8,10,0),"")</f>
        <v>91.53</v>
      </c>
      <c r="J175" s="57">
        <f>IFERROR(VLOOKUP($B175,Tipologias!$A$4:$V$8,16,0),"")</f>
        <v>238.62400000000002</v>
      </c>
      <c r="K175" s="55" t="s">
        <v>114</v>
      </c>
      <c r="L175" s="55"/>
      <c r="M175" s="58">
        <f>IFERROR(VLOOKUP($B175,Tipologias!$A$4:$V$8,19,0),"")</f>
        <v>0</v>
      </c>
      <c r="N175" s="58">
        <f t="shared" si="2"/>
        <v>0</v>
      </c>
      <c r="O175" s="58"/>
      <c r="P175" s="55"/>
      <c r="Q175" s="61" t="s">
        <v>459</v>
      </c>
      <c r="R175" s="50">
        <v>640.84</v>
      </c>
      <c r="S175" s="51">
        <f>IF(OR($H175="",$I175="",$R175=""),"",$R175*Precios!$B$5+$H175*Precios!$B$6+$I175*Precios!$B$7)</f>
        <v>330379.80000000005</v>
      </c>
      <c r="T175" s="52">
        <f>Precios_v2!L186</f>
        <v>336000</v>
      </c>
    </row>
    <row r="176" spans="1:20" ht="15.75" customHeight="1" x14ac:dyDescent="0.25">
      <c r="A176" s="60" t="s">
        <v>460</v>
      </c>
      <c r="B176" s="54" t="s">
        <v>87</v>
      </c>
      <c r="C176" s="55" t="s">
        <v>422</v>
      </c>
      <c r="D176" s="55">
        <v>2</v>
      </c>
      <c r="E176" s="55" t="s">
        <v>70</v>
      </c>
      <c r="F176" s="56">
        <f>IFERROR(VLOOKUP($B176,Tipologias!$A$4:$V$8,5,0),"")</f>
        <v>3</v>
      </c>
      <c r="G176" s="56">
        <f>IFERROR(VLOOKUP($B176,Tipologias!$A$4:$V$8,6,0),"")</f>
        <v>3</v>
      </c>
      <c r="H176" s="57">
        <f>IFERROR(VLOOKUP($B176,Tipologias!$A$4:$V$8,9,0),"")</f>
        <v>130.04400000000001</v>
      </c>
      <c r="I176" s="57">
        <f>IFERROR(VLOOKUP($B176,Tipologias!$A$4:$V$8,10,0),"")</f>
        <v>91.53</v>
      </c>
      <c r="J176" s="57">
        <f>IFERROR(VLOOKUP($B176,Tipologias!$A$4:$V$8,16,0),"")</f>
        <v>238.62400000000002</v>
      </c>
      <c r="K176" s="55" t="s">
        <v>114</v>
      </c>
      <c r="L176" s="55"/>
      <c r="M176" s="58">
        <f>IFERROR(VLOOKUP($B176,Tipologias!$A$4:$V$8,19,0),"")</f>
        <v>0</v>
      </c>
      <c r="N176" s="58">
        <f t="shared" si="2"/>
        <v>0</v>
      </c>
      <c r="O176" s="58"/>
      <c r="P176" s="55"/>
      <c r="Q176" s="61" t="s">
        <v>461</v>
      </c>
      <c r="R176" s="50">
        <v>648.91</v>
      </c>
      <c r="S176" s="51">
        <f>IF(OR($H176="",$I176="",$R176=""),"",$R176*Precios!$B$5+$H176*Precios!$B$6+$I176*Precios!$B$7)</f>
        <v>330621.90000000002</v>
      </c>
      <c r="T176" s="52">
        <f>Precios_v2!L187</f>
        <v>330000</v>
      </c>
    </row>
    <row r="177" spans="1:20" ht="15.75" customHeight="1" x14ac:dyDescent="0.25">
      <c r="A177" s="60" t="s">
        <v>462</v>
      </c>
      <c r="B177" s="54" t="s">
        <v>87</v>
      </c>
      <c r="C177" s="55" t="s">
        <v>422</v>
      </c>
      <c r="D177" s="55">
        <v>2</v>
      </c>
      <c r="E177" s="55" t="s">
        <v>70</v>
      </c>
      <c r="F177" s="56">
        <f>IFERROR(VLOOKUP($B177,Tipologias!$A$4:$V$8,5,0),"")</f>
        <v>3</v>
      </c>
      <c r="G177" s="56">
        <f>IFERROR(VLOOKUP($B177,Tipologias!$A$4:$V$8,6,0),"")</f>
        <v>3</v>
      </c>
      <c r="H177" s="57">
        <f>IFERROR(VLOOKUP($B177,Tipologias!$A$4:$V$8,9,0),"")</f>
        <v>130.04400000000001</v>
      </c>
      <c r="I177" s="57">
        <f>IFERROR(VLOOKUP($B177,Tipologias!$A$4:$V$8,10,0),"")</f>
        <v>91.53</v>
      </c>
      <c r="J177" s="57">
        <f>IFERROR(VLOOKUP($B177,Tipologias!$A$4:$V$8,16,0),"")</f>
        <v>238.62400000000002</v>
      </c>
      <c r="K177" s="55" t="s">
        <v>114</v>
      </c>
      <c r="L177" s="55"/>
      <c r="M177" s="58">
        <f>IFERROR(VLOOKUP($B177,Tipologias!$A$4:$V$8,19,0),"")</f>
        <v>0</v>
      </c>
      <c r="N177" s="58">
        <f t="shared" si="2"/>
        <v>0</v>
      </c>
      <c r="O177" s="58"/>
      <c r="P177" s="55"/>
      <c r="Q177" s="61" t="s">
        <v>463</v>
      </c>
      <c r="R177" s="50">
        <v>540.47</v>
      </c>
      <c r="S177" s="51">
        <f>IF(OR($H177="",$I177="",$R177=""),"",$R177*Precios!$B$5+$H177*Precios!$B$6+$I177*Precios!$B$7)</f>
        <v>327368.7</v>
      </c>
      <c r="T177" s="52">
        <f>Precios_v2!L188</f>
        <v>359000</v>
      </c>
    </row>
    <row r="178" spans="1:20" ht="15.75" customHeight="1" x14ac:dyDescent="0.25">
      <c r="A178" s="60" t="s">
        <v>464</v>
      </c>
      <c r="B178" s="54" t="s">
        <v>87</v>
      </c>
      <c r="C178" s="55" t="s">
        <v>422</v>
      </c>
      <c r="D178" s="55">
        <v>2</v>
      </c>
      <c r="E178" s="55" t="s">
        <v>70</v>
      </c>
      <c r="F178" s="56">
        <f>IFERROR(VLOOKUP($B178,Tipologias!$A$4:$V$8,5,0),"")</f>
        <v>3</v>
      </c>
      <c r="G178" s="56">
        <f>IFERROR(VLOOKUP($B178,Tipologias!$A$4:$V$8,6,0),"")</f>
        <v>3</v>
      </c>
      <c r="H178" s="57">
        <f>IFERROR(VLOOKUP($B178,Tipologias!$A$4:$V$8,9,0),"")</f>
        <v>130.04400000000001</v>
      </c>
      <c r="I178" s="57">
        <f>IFERROR(VLOOKUP($B178,Tipologias!$A$4:$V$8,10,0),"")</f>
        <v>91.53</v>
      </c>
      <c r="J178" s="57">
        <f>IFERROR(VLOOKUP($B178,Tipologias!$A$4:$V$8,16,0),"")</f>
        <v>238.62400000000002</v>
      </c>
      <c r="K178" s="55" t="s">
        <v>114</v>
      </c>
      <c r="L178" s="55"/>
      <c r="M178" s="58">
        <f>IFERROR(VLOOKUP($B178,Tipologias!$A$4:$V$8,19,0),"")</f>
        <v>0</v>
      </c>
      <c r="N178" s="58">
        <f t="shared" si="2"/>
        <v>0</v>
      </c>
      <c r="O178" s="58"/>
      <c r="P178" s="55"/>
      <c r="Q178" s="61" t="s">
        <v>465</v>
      </c>
      <c r="R178" s="50">
        <v>662.46</v>
      </c>
      <c r="S178" s="51">
        <f>IF(OR($H178="",$I178="",$R178=""),"",$R178*Precios!$B$5+$H178*Precios!$B$6+$I178*Precios!$B$7)</f>
        <v>331028.40000000002</v>
      </c>
      <c r="T178" s="52">
        <f>Precios_v2!L189</f>
        <v>346000</v>
      </c>
    </row>
    <row r="179" spans="1:20" ht="15.75" customHeight="1" x14ac:dyDescent="0.25">
      <c r="A179" s="60" t="s">
        <v>466</v>
      </c>
      <c r="B179" s="54" t="s">
        <v>87</v>
      </c>
      <c r="C179" s="55" t="s">
        <v>422</v>
      </c>
      <c r="D179" s="55">
        <v>2</v>
      </c>
      <c r="E179" s="55" t="s">
        <v>70</v>
      </c>
      <c r="F179" s="56">
        <f>IFERROR(VLOOKUP($B179,Tipologias!$A$4:$V$8,5,0),"")</f>
        <v>3</v>
      </c>
      <c r="G179" s="56">
        <f>IFERROR(VLOOKUP($B179,Tipologias!$A$4:$V$8,6,0),"")</f>
        <v>3</v>
      </c>
      <c r="H179" s="57">
        <f>IFERROR(VLOOKUP($B179,Tipologias!$A$4:$V$8,9,0),"")</f>
        <v>130.04400000000001</v>
      </c>
      <c r="I179" s="57">
        <f>IFERROR(VLOOKUP($B179,Tipologias!$A$4:$V$8,10,0),"")</f>
        <v>91.53</v>
      </c>
      <c r="J179" s="57">
        <f>IFERROR(VLOOKUP($B179,Tipologias!$A$4:$V$8,16,0),"")</f>
        <v>238.62400000000002</v>
      </c>
      <c r="K179" s="55" t="s">
        <v>114</v>
      </c>
      <c r="L179" s="55"/>
      <c r="M179" s="58">
        <f>IFERROR(VLOOKUP($B179,Tipologias!$A$4:$V$8,19,0),"")</f>
        <v>0</v>
      </c>
      <c r="N179" s="58">
        <f t="shared" si="2"/>
        <v>0</v>
      </c>
      <c r="O179" s="58"/>
      <c r="P179" s="55"/>
      <c r="Q179" s="61" t="s">
        <v>467</v>
      </c>
      <c r="R179" s="50">
        <v>775.34</v>
      </c>
      <c r="S179" s="51">
        <f>IF(OR($H179="",$I179="",$R179=""),"",$R179*Precios!$B$5+$H179*Precios!$B$6+$I179*Precios!$B$7)</f>
        <v>334414.80000000005</v>
      </c>
      <c r="T179" s="52">
        <f>Precios_v2!L190</f>
        <v>354000</v>
      </c>
    </row>
    <row r="180" spans="1:20" ht="15.75" customHeight="1" x14ac:dyDescent="0.25">
      <c r="A180" s="60" t="s">
        <v>468</v>
      </c>
      <c r="B180" s="54" t="s">
        <v>87</v>
      </c>
      <c r="C180" s="55" t="s">
        <v>422</v>
      </c>
      <c r="D180" s="55">
        <v>2</v>
      </c>
      <c r="E180" s="55" t="s">
        <v>70</v>
      </c>
      <c r="F180" s="56">
        <f>IFERROR(VLOOKUP($B180,Tipologias!$A$4:$V$8,5,0),"")</f>
        <v>3</v>
      </c>
      <c r="G180" s="56">
        <f>IFERROR(VLOOKUP($B180,Tipologias!$A$4:$V$8,6,0),"")</f>
        <v>3</v>
      </c>
      <c r="H180" s="57">
        <f>IFERROR(VLOOKUP($B180,Tipologias!$A$4:$V$8,9,0),"")</f>
        <v>130.04400000000001</v>
      </c>
      <c r="I180" s="57">
        <f>IFERROR(VLOOKUP($B180,Tipologias!$A$4:$V$8,10,0),"")</f>
        <v>91.53</v>
      </c>
      <c r="J180" s="57">
        <f>IFERROR(VLOOKUP($B180,Tipologias!$A$4:$V$8,16,0),"")</f>
        <v>238.62400000000002</v>
      </c>
      <c r="K180" s="55" t="s">
        <v>114</v>
      </c>
      <c r="L180" s="55"/>
      <c r="M180" s="58">
        <f>IFERROR(VLOOKUP($B180,Tipologias!$A$4:$V$8,19,0),"")</f>
        <v>0</v>
      </c>
      <c r="N180" s="58">
        <f t="shared" si="2"/>
        <v>0</v>
      </c>
      <c r="O180" s="58"/>
      <c r="P180" s="55"/>
      <c r="Q180" s="61" t="s">
        <v>469</v>
      </c>
      <c r="R180" s="50">
        <v>745.47</v>
      </c>
      <c r="S180" s="51">
        <f>IF(OR($H180="",$I180="",$R180=""),"",$R180*Precios!$B$5+$H180*Precios!$B$6+$I180*Precios!$B$7)</f>
        <v>333518.7</v>
      </c>
      <c r="T180" s="52">
        <f>Precios_v2!L191</f>
        <v>354000</v>
      </c>
    </row>
    <row r="181" spans="1:20" ht="15.75" customHeight="1" x14ac:dyDescent="0.25">
      <c r="A181" s="60" t="s">
        <v>470</v>
      </c>
      <c r="B181" s="54" t="s">
        <v>87</v>
      </c>
      <c r="C181" s="55" t="s">
        <v>422</v>
      </c>
      <c r="D181" s="55">
        <v>2</v>
      </c>
      <c r="E181" s="55" t="s">
        <v>70</v>
      </c>
      <c r="F181" s="56">
        <f>IFERROR(VLOOKUP($B181,Tipologias!$A$4:$V$8,5,0),"")</f>
        <v>3</v>
      </c>
      <c r="G181" s="56">
        <f>IFERROR(VLOOKUP($B181,Tipologias!$A$4:$V$8,6,0),"")</f>
        <v>3</v>
      </c>
      <c r="H181" s="57">
        <f>IFERROR(VLOOKUP($B181,Tipologias!$A$4:$V$8,9,0),"")</f>
        <v>130.04400000000001</v>
      </c>
      <c r="I181" s="57">
        <f>IFERROR(VLOOKUP($B181,Tipologias!$A$4:$V$8,10,0),"")</f>
        <v>91.53</v>
      </c>
      <c r="J181" s="57">
        <f>IFERROR(VLOOKUP($B181,Tipologias!$A$4:$V$8,16,0),"")</f>
        <v>238.62400000000002</v>
      </c>
      <c r="K181" s="55" t="s">
        <v>114</v>
      </c>
      <c r="L181" s="55"/>
      <c r="M181" s="58">
        <f>IFERROR(VLOOKUP($B181,Tipologias!$A$4:$V$8,19,0),"")</f>
        <v>0</v>
      </c>
      <c r="N181" s="58">
        <f t="shared" si="2"/>
        <v>0</v>
      </c>
      <c r="O181" s="58"/>
      <c r="P181" s="55"/>
      <c r="Q181" s="61" t="s">
        <v>471</v>
      </c>
      <c r="R181" s="50">
        <v>670.43</v>
      </c>
      <c r="S181" s="51">
        <f>IF(OR($H181="",$I181="",$R181=""),"",$R181*Precios!$B$5+$H181*Precios!$B$6+$I181*Precios!$B$7)</f>
        <v>331267.50000000006</v>
      </c>
      <c r="T181" s="52">
        <f>Precios_v2!L192</f>
        <v>327000</v>
      </c>
    </row>
    <row r="182" spans="1:20" ht="15.75" customHeight="1" x14ac:dyDescent="0.25">
      <c r="A182" s="60" t="s">
        <v>472</v>
      </c>
      <c r="B182" s="54" t="s">
        <v>87</v>
      </c>
      <c r="C182" s="55" t="s">
        <v>422</v>
      </c>
      <c r="D182" s="55">
        <v>2</v>
      </c>
      <c r="E182" s="55" t="s">
        <v>70</v>
      </c>
      <c r="F182" s="56">
        <f>IFERROR(VLOOKUP($B182,Tipologias!$A$4:$V$8,5,0),"")</f>
        <v>3</v>
      </c>
      <c r="G182" s="56">
        <f>IFERROR(VLOOKUP($B182,Tipologias!$A$4:$V$8,6,0),"")</f>
        <v>3</v>
      </c>
      <c r="H182" s="57">
        <f>IFERROR(VLOOKUP($B182,Tipologias!$A$4:$V$8,9,0),"")</f>
        <v>130.04400000000001</v>
      </c>
      <c r="I182" s="57">
        <f>IFERROR(VLOOKUP($B182,Tipologias!$A$4:$V$8,10,0),"")</f>
        <v>91.53</v>
      </c>
      <c r="J182" s="57">
        <f>IFERROR(VLOOKUP($B182,Tipologias!$A$4:$V$8,16,0),"")</f>
        <v>238.62400000000002</v>
      </c>
      <c r="K182" s="55" t="s">
        <v>114</v>
      </c>
      <c r="L182" s="55"/>
      <c r="M182" s="58">
        <f>IFERROR(VLOOKUP($B182,Tipologias!$A$4:$V$8,19,0),"")</f>
        <v>0</v>
      </c>
      <c r="N182" s="58">
        <f t="shared" si="2"/>
        <v>0</v>
      </c>
      <c r="O182" s="58"/>
      <c r="P182" s="55"/>
      <c r="Q182" s="61" t="s">
        <v>473</v>
      </c>
      <c r="R182" s="50">
        <v>542.05999999999995</v>
      </c>
      <c r="S182" s="51">
        <f>IF(OR($H182="",$I182="",$R182=""),"",$R182*Precios!$B$5+$H182*Precios!$B$6+$I182*Precios!$B$7)</f>
        <v>327416.40000000002</v>
      </c>
      <c r="T182" s="52">
        <f>Precios_v2!L193</f>
        <v>342000</v>
      </c>
    </row>
    <row r="183" spans="1:20" ht="15.75" customHeight="1" x14ac:dyDescent="0.25">
      <c r="A183" s="60" t="s">
        <v>474</v>
      </c>
      <c r="B183" s="54" t="s">
        <v>87</v>
      </c>
      <c r="C183" s="55" t="s">
        <v>422</v>
      </c>
      <c r="D183" s="55">
        <v>2</v>
      </c>
      <c r="E183" s="55" t="s">
        <v>70</v>
      </c>
      <c r="F183" s="56">
        <f>IFERROR(VLOOKUP($B183,Tipologias!$A$4:$V$8,5,0),"")</f>
        <v>3</v>
      </c>
      <c r="G183" s="56">
        <f>IFERROR(VLOOKUP($B183,Tipologias!$A$4:$V$8,6,0),"")</f>
        <v>3</v>
      </c>
      <c r="H183" s="57">
        <f>IFERROR(VLOOKUP($B183,Tipologias!$A$4:$V$8,9,0),"")</f>
        <v>130.04400000000001</v>
      </c>
      <c r="I183" s="57">
        <f>IFERROR(VLOOKUP($B183,Tipologias!$A$4:$V$8,10,0),"")</f>
        <v>91.53</v>
      </c>
      <c r="J183" s="57">
        <f>IFERROR(VLOOKUP($B183,Tipologias!$A$4:$V$8,16,0),"")</f>
        <v>238.62400000000002</v>
      </c>
      <c r="K183" s="55" t="s">
        <v>114</v>
      </c>
      <c r="L183" s="55"/>
      <c r="M183" s="58">
        <f>IFERROR(VLOOKUP($B183,Tipologias!$A$4:$V$8,19,0),"")</f>
        <v>0</v>
      </c>
      <c r="N183" s="58">
        <f t="shared" si="2"/>
        <v>0</v>
      </c>
      <c r="O183" s="58"/>
      <c r="P183" s="55"/>
      <c r="Q183" s="61" t="s">
        <v>475</v>
      </c>
      <c r="R183" s="50">
        <v>556.16</v>
      </c>
      <c r="S183" s="51">
        <f>IF(OR($H183="",$I183="",$R183=""),"",$R183*Precios!$B$5+$H183*Precios!$B$6+$I183*Precios!$B$7)</f>
        <v>327839.40000000002</v>
      </c>
      <c r="T183" s="52">
        <f>Precios_v2!L194</f>
        <v>332000</v>
      </c>
    </row>
    <row r="184" spans="1:20" ht="15.75" customHeight="1" x14ac:dyDescent="0.25">
      <c r="A184" s="60" t="s">
        <v>476</v>
      </c>
      <c r="B184" s="54" t="s">
        <v>87</v>
      </c>
      <c r="C184" s="55" t="s">
        <v>422</v>
      </c>
      <c r="D184" s="55">
        <v>2</v>
      </c>
      <c r="E184" s="55" t="s">
        <v>70</v>
      </c>
      <c r="F184" s="56">
        <f>IFERROR(VLOOKUP($B184,Tipologias!$A$4:$V$8,5,0),"")</f>
        <v>3</v>
      </c>
      <c r="G184" s="56">
        <f>IFERROR(VLOOKUP($B184,Tipologias!$A$4:$V$8,6,0),"")</f>
        <v>3</v>
      </c>
      <c r="H184" s="57">
        <f>IFERROR(VLOOKUP($B184,Tipologias!$A$4:$V$8,9,0),"")</f>
        <v>130.04400000000001</v>
      </c>
      <c r="I184" s="57">
        <f>IFERROR(VLOOKUP($B184,Tipologias!$A$4:$V$8,10,0),"")</f>
        <v>91.53</v>
      </c>
      <c r="J184" s="57">
        <f>IFERROR(VLOOKUP($B184,Tipologias!$A$4:$V$8,16,0),"")</f>
        <v>238.62400000000002</v>
      </c>
      <c r="K184" s="55" t="s">
        <v>114</v>
      </c>
      <c r="L184" s="55"/>
      <c r="M184" s="58">
        <f>IFERROR(VLOOKUP($B184,Tipologias!$A$4:$V$8,19,0),"")</f>
        <v>0</v>
      </c>
      <c r="N184" s="58">
        <f t="shared" si="2"/>
        <v>0</v>
      </c>
      <c r="O184" s="58"/>
      <c r="P184" s="55"/>
      <c r="Q184" s="61" t="s">
        <v>477</v>
      </c>
      <c r="R184" s="50">
        <v>565.84</v>
      </c>
      <c r="S184" s="51">
        <f>IF(OR($H184="",$I184="",$R184=""),"",$R184*Precios!$B$5+$H184*Precios!$B$6+$I184*Precios!$B$7)</f>
        <v>328129.80000000005</v>
      </c>
      <c r="T184" s="52">
        <f>Precios_v2!L195</f>
        <v>339000</v>
      </c>
    </row>
    <row r="185" spans="1:20" ht="15.75" customHeight="1" x14ac:dyDescent="0.25">
      <c r="A185" s="60" t="s">
        <v>478</v>
      </c>
      <c r="B185" s="54" t="s">
        <v>87</v>
      </c>
      <c r="C185" s="55" t="s">
        <v>422</v>
      </c>
      <c r="D185" s="55">
        <v>2</v>
      </c>
      <c r="E185" s="55" t="s">
        <v>70</v>
      </c>
      <c r="F185" s="56">
        <f>IFERROR(VLOOKUP($B185,Tipologias!$A$4:$V$8,5,0),"")</f>
        <v>3</v>
      </c>
      <c r="G185" s="56">
        <f>IFERROR(VLOOKUP($B185,Tipologias!$A$4:$V$8,6,0),"")</f>
        <v>3</v>
      </c>
      <c r="H185" s="57">
        <f>IFERROR(VLOOKUP($B185,Tipologias!$A$4:$V$8,9,0),"")</f>
        <v>130.04400000000001</v>
      </c>
      <c r="I185" s="57">
        <f>IFERROR(VLOOKUP($B185,Tipologias!$A$4:$V$8,10,0),"")</f>
        <v>91.53</v>
      </c>
      <c r="J185" s="57">
        <f>IFERROR(VLOOKUP($B185,Tipologias!$A$4:$V$8,16,0),"")</f>
        <v>238.62400000000002</v>
      </c>
      <c r="K185" s="55" t="s">
        <v>114</v>
      </c>
      <c r="L185" s="55"/>
      <c r="M185" s="58">
        <f>IFERROR(VLOOKUP($B185,Tipologias!$A$4:$V$8,19,0),"")</f>
        <v>0</v>
      </c>
      <c r="N185" s="58">
        <f t="shared" si="2"/>
        <v>0</v>
      </c>
      <c r="O185" s="58"/>
      <c r="P185" s="55"/>
      <c r="Q185" s="61" t="s">
        <v>479</v>
      </c>
      <c r="R185" s="50">
        <v>745.66</v>
      </c>
      <c r="S185" s="51">
        <f>IF(OR($H185="",$I185="",$R185=""),"",$R185*Precios!$B$5+$H185*Precios!$B$6+$I185*Precios!$B$7)</f>
        <v>333524.40000000002</v>
      </c>
      <c r="T185" s="52">
        <f>Precios_v2!L196</f>
        <v>337000</v>
      </c>
    </row>
    <row r="186" spans="1:20" ht="15.75" customHeight="1" x14ac:dyDescent="0.25">
      <c r="A186" s="60" t="s">
        <v>480</v>
      </c>
      <c r="B186" s="54" t="s">
        <v>87</v>
      </c>
      <c r="C186" s="55" t="s">
        <v>422</v>
      </c>
      <c r="D186" s="55">
        <v>2</v>
      </c>
      <c r="E186" s="55" t="s">
        <v>70</v>
      </c>
      <c r="F186" s="56">
        <f>IFERROR(VLOOKUP($B186,Tipologias!$A$4:$V$8,5,0),"")</f>
        <v>3</v>
      </c>
      <c r="G186" s="56">
        <f>IFERROR(VLOOKUP($B186,Tipologias!$A$4:$V$8,6,0),"")</f>
        <v>3</v>
      </c>
      <c r="H186" s="57">
        <f>IFERROR(VLOOKUP($B186,Tipologias!$A$4:$V$8,9,0),"")</f>
        <v>130.04400000000001</v>
      </c>
      <c r="I186" s="57">
        <f>IFERROR(VLOOKUP($B186,Tipologias!$A$4:$V$8,10,0),"")</f>
        <v>91.53</v>
      </c>
      <c r="J186" s="57">
        <f>IFERROR(VLOOKUP($B186,Tipologias!$A$4:$V$8,16,0),"")</f>
        <v>238.62400000000002</v>
      </c>
      <c r="K186" s="55" t="s">
        <v>114</v>
      </c>
      <c r="L186" s="55"/>
      <c r="M186" s="58">
        <f>IFERROR(VLOOKUP($B186,Tipologias!$A$4:$V$8,19,0),"")</f>
        <v>0</v>
      </c>
      <c r="N186" s="58">
        <f t="shared" si="2"/>
        <v>0</v>
      </c>
      <c r="O186" s="58"/>
      <c r="P186" s="55"/>
      <c r="Q186" s="61" t="s">
        <v>481</v>
      </c>
      <c r="R186" s="50">
        <v>640.65</v>
      </c>
      <c r="S186" s="51">
        <f>IF(OR($H186="",$I186="",$R186=""),"",$R186*Precios!$B$5+$H186*Precios!$B$6+$I186*Precios!$B$7)</f>
        <v>330374.10000000003</v>
      </c>
      <c r="T186" s="52">
        <f>Precios_v2!L197</f>
        <v>326000</v>
      </c>
    </row>
    <row r="187" spans="1:20" ht="15.75" customHeight="1" x14ac:dyDescent="0.25">
      <c r="A187" s="60" t="s">
        <v>482</v>
      </c>
      <c r="B187" s="54" t="s">
        <v>87</v>
      </c>
      <c r="C187" s="55" t="s">
        <v>422</v>
      </c>
      <c r="D187" s="55">
        <v>2</v>
      </c>
      <c r="E187" s="55" t="s">
        <v>70</v>
      </c>
      <c r="F187" s="56">
        <f>IFERROR(VLOOKUP($B187,Tipologias!$A$4:$V$8,5,0),"")</f>
        <v>3</v>
      </c>
      <c r="G187" s="56">
        <f>IFERROR(VLOOKUP($B187,Tipologias!$A$4:$V$8,6,0),"")</f>
        <v>3</v>
      </c>
      <c r="H187" s="57">
        <f>IFERROR(VLOOKUP($B187,Tipologias!$A$4:$V$8,9,0),"")</f>
        <v>130.04400000000001</v>
      </c>
      <c r="I187" s="57">
        <f>IFERROR(VLOOKUP($B187,Tipologias!$A$4:$V$8,10,0),"")</f>
        <v>91.53</v>
      </c>
      <c r="J187" s="57">
        <f>IFERROR(VLOOKUP($B187,Tipologias!$A$4:$V$8,16,0),"")</f>
        <v>238.62400000000002</v>
      </c>
      <c r="K187" s="55" t="s">
        <v>114</v>
      </c>
      <c r="L187" s="55"/>
      <c r="M187" s="58">
        <f>IFERROR(VLOOKUP($B187,Tipologias!$A$4:$V$8,19,0),"")</f>
        <v>0</v>
      </c>
      <c r="N187" s="58">
        <f t="shared" si="2"/>
        <v>0</v>
      </c>
      <c r="O187" s="58"/>
      <c r="P187" s="55"/>
      <c r="Q187" s="61" t="s">
        <v>483</v>
      </c>
      <c r="R187" s="50">
        <v>581.95000000000005</v>
      </c>
      <c r="S187" s="51">
        <f>IF(OR($H187="",$I187="",$R187=""),"",$R187*Precios!$B$5+$H187*Precios!$B$6+$I187*Precios!$B$7)</f>
        <v>328613.10000000003</v>
      </c>
      <c r="T187" s="52">
        <f>Precios_v2!L198</f>
        <v>355000</v>
      </c>
    </row>
    <row r="188" spans="1:20" ht="15.75" customHeight="1" x14ac:dyDescent="0.25">
      <c r="A188" s="60" t="s">
        <v>484</v>
      </c>
      <c r="B188" s="54" t="s">
        <v>87</v>
      </c>
      <c r="C188" s="55" t="s">
        <v>422</v>
      </c>
      <c r="D188" s="55">
        <v>2</v>
      </c>
      <c r="E188" s="55" t="s">
        <v>70</v>
      </c>
      <c r="F188" s="56">
        <f>IFERROR(VLOOKUP($B188,Tipologias!$A$4:$V$8,5,0),"")</f>
        <v>3</v>
      </c>
      <c r="G188" s="56">
        <f>IFERROR(VLOOKUP($B188,Tipologias!$A$4:$V$8,6,0),"")</f>
        <v>3</v>
      </c>
      <c r="H188" s="57">
        <f>IFERROR(VLOOKUP($B188,Tipologias!$A$4:$V$8,9,0),"")</f>
        <v>130.04400000000001</v>
      </c>
      <c r="I188" s="57">
        <f>IFERROR(VLOOKUP($B188,Tipologias!$A$4:$V$8,10,0),"")</f>
        <v>91.53</v>
      </c>
      <c r="J188" s="57">
        <f>IFERROR(VLOOKUP($B188,Tipologias!$A$4:$V$8,16,0),"")</f>
        <v>238.62400000000002</v>
      </c>
      <c r="K188" s="55" t="s">
        <v>114</v>
      </c>
      <c r="L188" s="55"/>
      <c r="M188" s="58">
        <f>IFERROR(VLOOKUP($B188,Tipologias!$A$4:$V$8,19,0),"")</f>
        <v>0</v>
      </c>
      <c r="N188" s="58">
        <f t="shared" si="2"/>
        <v>0</v>
      </c>
      <c r="O188" s="58"/>
      <c r="P188" s="55"/>
      <c r="Q188" s="61" t="s">
        <v>485</v>
      </c>
      <c r="R188" s="50">
        <v>523.19000000000005</v>
      </c>
      <c r="S188" s="51">
        <f>IF(OR($H188="",$I188="",$R188=""),"",$R188*Precios!$B$5+$H188*Precios!$B$6+$I188*Precios!$B$7)</f>
        <v>326850.30000000005</v>
      </c>
      <c r="T188" s="52">
        <f>Precios_v2!L199</f>
        <v>336000</v>
      </c>
    </row>
    <row r="189" spans="1:20" ht="15.75" customHeight="1" x14ac:dyDescent="0.25">
      <c r="A189" s="60" t="s">
        <v>486</v>
      </c>
      <c r="B189" s="54" t="s">
        <v>87</v>
      </c>
      <c r="C189" s="55" t="s">
        <v>422</v>
      </c>
      <c r="D189" s="55">
        <v>2</v>
      </c>
      <c r="E189" s="55" t="s">
        <v>70</v>
      </c>
      <c r="F189" s="56">
        <f>IFERROR(VLOOKUP($B189,Tipologias!$A$4:$V$8,5,0),"")</f>
        <v>3</v>
      </c>
      <c r="G189" s="56">
        <f>IFERROR(VLOOKUP($B189,Tipologias!$A$4:$V$8,6,0),"")</f>
        <v>3</v>
      </c>
      <c r="H189" s="57">
        <f>IFERROR(VLOOKUP($B189,Tipologias!$A$4:$V$8,9,0),"")</f>
        <v>130.04400000000001</v>
      </c>
      <c r="I189" s="57">
        <f>IFERROR(VLOOKUP($B189,Tipologias!$A$4:$V$8,10,0),"")</f>
        <v>91.53</v>
      </c>
      <c r="J189" s="57">
        <f>IFERROR(VLOOKUP($B189,Tipologias!$A$4:$V$8,16,0),"")</f>
        <v>238.62400000000002</v>
      </c>
      <c r="K189" s="55" t="s">
        <v>114</v>
      </c>
      <c r="L189" s="55"/>
      <c r="M189" s="58">
        <f>IFERROR(VLOOKUP($B189,Tipologias!$A$4:$V$8,19,0),"")</f>
        <v>0</v>
      </c>
      <c r="N189" s="58">
        <f t="shared" si="2"/>
        <v>0</v>
      </c>
      <c r="O189" s="58"/>
      <c r="P189" s="55"/>
      <c r="Q189" s="61" t="s">
        <v>487</v>
      </c>
      <c r="R189" s="50">
        <v>631.47</v>
      </c>
      <c r="S189" s="51">
        <f>IF(OR($H189="",$I189="",$R189=""),"",$R189*Precios!$B$5+$H189*Precios!$B$6+$I189*Precios!$B$7)</f>
        <v>330098.7</v>
      </c>
      <c r="T189" s="52">
        <f>Precios_v2!L200</f>
        <v>356000</v>
      </c>
    </row>
    <row r="190" spans="1:20" ht="15.75" customHeight="1" x14ac:dyDescent="0.25">
      <c r="A190" s="60" t="s">
        <v>488</v>
      </c>
      <c r="B190" s="54" t="s">
        <v>87</v>
      </c>
      <c r="C190" s="55" t="s">
        <v>422</v>
      </c>
      <c r="D190" s="55">
        <v>2</v>
      </c>
      <c r="E190" s="55" t="s">
        <v>70</v>
      </c>
      <c r="F190" s="56">
        <f>IFERROR(VLOOKUP($B190,Tipologias!$A$4:$V$8,5,0),"")</f>
        <v>3</v>
      </c>
      <c r="G190" s="56">
        <f>IFERROR(VLOOKUP($B190,Tipologias!$A$4:$V$8,6,0),"")</f>
        <v>3</v>
      </c>
      <c r="H190" s="57">
        <f>IFERROR(VLOOKUP($B190,Tipologias!$A$4:$V$8,9,0),"")</f>
        <v>130.04400000000001</v>
      </c>
      <c r="I190" s="57">
        <f>IFERROR(VLOOKUP($B190,Tipologias!$A$4:$V$8,10,0),"")</f>
        <v>91.53</v>
      </c>
      <c r="J190" s="57">
        <f>IFERROR(VLOOKUP($B190,Tipologias!$A$4:$V$8,16,0),"")</f>
        <v>238.62400000000002</v>
      </c>
      <c r="K190" s="55" t="s">
        <v>114</v>
      </c>
      <c r="L190" s="55"/>
      <c r="M190" s="58">
        <f>IFERROR(VLOOKUP($B190,Tipologias!$A$4:$V$8,19,0),"")</f>
        <v>0</v>
      </c>
      <c r="N190" s="58">
        <f t="shared" si="2"/>
        <v>0</v>
      </c>
      <c r="O190" s="58"/>
      <c r="P190" s="55"/>
      <c r="Q190" s="61" t="s">
        <v>489</v>
      </c>
      <c r="R190" s="50">
        <v>587.53</v>
      </c>
      <c r="S190" s="51">
        <f>IF(OR($H190="",$I190="",$R190=""),"",$R190*Precios!$B$5+$H190*Precios!$B$6+$I190*Precios!$B$7)</f>
        <v>328780.50000000006</v>
      </c>
      <c r="T190" s="52">
        <f>Precios_v2!L201</f>
        <v>329000</v>
      </c>
    </row>
    <row r="191" spans="1:20" ht="15.75" customHeight="1" x14ac:dyDescent="0.25">
      <c r="A191" s="60" t="s">
        <v>490</v>
      </c>
      <c r="B191" s="54" t="s">
        <v>87</v>
      </c>
      <c r="C191" s="55" t="s">
        <v>422</v>
      </c>
      <c r="D191" s="55">
        <v>2</v>
      </c>
      <c r="E191" s="55" t="s">
        <v>70</v>
      </c>
      <c r="F191" s="56">
        <f>IFERROR(VLOOKUP($B191,Tipologias!$A$4:$V$8,5,0),"")</f>
        <v>3</v>
      </c>
      <c r="G191" s="56">
        <f>IFERROR(VLOOKUP($B191,Tipologias!$A$4:$V$8,6,0),"")</f>
        <v>3</v>
      </c>
      <c r="H191" s="57">
        <f>IFERROR(VLOOKUP($B191,Tipologias!$A$4:$V$8,9,0),"")</f>
        <v>130.04400000000001</v>
      </c>
      <c r="I191" s="57">
        <f>IFERROR(VLOOKUP($B191,Tipologias!$A$4:$V$8,10,0),"")</f>
        <v>91.53</v>
      </c>
      <c r="J191" s="57">
        <f>IFERROR(VLOOKUP($B191,Tipologias!$A$4:$V$8,16,0),"")</f>
        <v>238.62400000000002</v>
      </c>
      <c r="K191" s="55" t="s">
        <v>114</v>
      </c>
      <c r="L191" s="55"/>
      <c r="M191" s="58">
        <f>IFERROR(VLOOKUP($B191,Tipologias!$A$4:$V$8,19,0),"")</f>
        <v>0</v>
      </c>
      <c r="N191" s="58">
        <f t="shared" si="2"/>
        <v>0</v>
      </c>
      <c r="O191" s="58"/>
      <c r="P191" s="55"/>
      <c r="Q191" s="61" t="s">
        <v>491</v>
      </c>
      <c r="R191" s="50">
        <v>624.05999999999995</v>
      </c>
      <c r="S191" s="51">
        <f>IF(OR($H191="",$I191="",$R191=""),"",$R191*Precios!$B$5+$H191*Precios!$B$6+$I191*Precios!$B$7)</f>
        <v>329876.40000000002</v>
      </c>
      <c r="T191" s="52">
        <f>Precios_v2!L202</f>
        <v>319000</v>
      </c>
    </row>
    <row r="192" spans="1:20" ht="15.75" customHeight="1" x14ac:dyDescent="0.25">
      <c r="A192" s="60" t="s">
        <v>492</v>
      </c>
      <c r="B192" s="54" t="s">
        <v>87</v>
      </c>
      <c r="C192" s="55" t="s">
        <v>422</v>
      </c>
      <c r="D192" s="55">
        <v>2</v>
      </c>
      <c r="E192" s="55" t="s">
        <v>70</v>
      </c>
      <c r="F192" s="56">
        <f>IFERROR(VLOOKUP($B192,Tipologias!$A$4:$V$8,5,0),"")</f>
        <v>3</v>
      </c>
      <c r="G192" s="56">
        <f>IFERROR(VLOOKUP($B192,Tipologias!$A$4:$V$8,6,0),"")</f>
        <v>3</v>
      </c>
      <c r="H192" s="57">
        <f>IFERROR(VLOOKUP($B192,Tipologias!$A$4:$V$8,9,0),"")</f>
        <v>130.04400000000001</v>
      </c>
      <c r="I192" s="57">
        <f>IFERROR(VLOOKUP($B192,Tipologias!$A$4:$V$8,10,0),"")</f>
        <v>91.53</v>
      </c>
      <c r="J192" s="57">
        <f>IFERROR(VLOOKUP($B192,Tipologias!$A$4:$V$8,16,0),"")</f>
        <v>238.62400000000002</v>
      </c>
      <c r="K192" s="55" t="s">
        <v>114</v>
      </c>
      <c r="L192" s="55"/>
      <c r="M192" s="58">
        <f>IFERROR(VLOOKUP($B192,Tipologias!$A$4:$V$8,19,0),"")</f>
        <v>0</v>
      </c>
      <c r="N192" s="58">
        <f t="shared" si="2"/>
        <v>0</v>
      </c>
      <c r="O192" s="58"/>
      <c r="P192" s="55"/>
      <c r="Q192" s="61" t="s">
        <v>493</v>
      </c>
      <c r="R192" s="50">
        <v>619.19000000000005</v>
      </c>
      <c r="S192" s="51">
        <f>IF(OR($H192="",$I192="",$R192=""),"",$R192*Precios!$B$5+$H192*Precios!$B$6+$I192*Precios!$B$7)</f>
        <v>329730.30000000005</v>
      </c>
      <c r="T192" s="52">
        <f>Precios_v2!L203</f>
        <v>339000</v>
      </c>
    </row>
    <row r="193" spans="1:20" ht="15.75" customHeight="1" x14ac:dyDescent="0.25">
      <c r="A193" s="60" t="s">
        <v>494</v>
      </c>
      <c r="B193" s="54" t="s">
        <v>87</v>
      </c>
      <c r="C193" s="55" t="s">
        <v>422</v>
      </c>
      <c r="D193" s="55">
        <v>2</v>
      </c>
      <c r="E193" s="55" t="s">
        <v>70</v>
      </c>
      <c r="F193" s="56">
        <f>IFERROR(VLOOKUP($B193,Tipologias!$A$4:$V$8,5,0),"")</f>
        <v>3</v>
      </c>
      <c r="G193" s="56">
        <f>IFERROR(VLOOKUP($B193,Tipologias!$A$4:$V$8,6,0),"")</f>
        <v>3</v>
      </c>
      <c r="H193" s="57">
        <f>IFERROR(VLOOKUP($B193,Tipologias!$A$4:$V$8,9,0),"")</f>
        <v>130.04400000000001</v>
      </c>
      <c r="I193" s="57">
        <f>IFERROR(VLOOKUP($B193,Tipologias!$A$4:$V$8,10,0),"")</f>
        <v>91.53</v>
      </c>
      <c r="J193" s="57">
        <f>IFERROR(VLOOKUP($B193,Tipologias!$A$4:$V$8,16,0),"")</f>
        <v>238.62400000000002</v>
      </c>
      <c r="K193" s="55" t="s">
        <v>114</v>
      </c>
      <c r="L193" s="55"/>
      <c r="M193" s="58">
        <f>IFERROR(VLOOKUP($B193,Tipologias!$A$4:$V$8,19,0),"")</f>
        <v>0</v>
      </c>
      <c r="N193" s="58">
        <f t="shared" si="2"/>
        <v>0</v>
      </c>
      <c r="O193" s="58"/>
      <c r="P193" s="55"/>
      <c r="Q193" s="61" t="s">
        <v>495</v>
      </c>
      <c r="R193" s="50">
        <v>649.80999999999995</v>
      </c>
      <c r="S193" s="51">
        <f>IF(OR($H193="",$I193="",$R193=""),"",$R193*Precios!$B$5+$H193*Precios!$B$6+$I193*Precios!$B$7)</f>
        <v>330648.90000000002</v>
      </c>
      <c r="T193" s="52">
        <f>Precios_v2!L204</f>
        <v>330000</v>
      </c>
    </row>
    <row r="194" spans="1:20" ht="15.75" customHeight="1" x14ac:dyDescent="0.25">
      <c r="A194" s="60" t="s">
        <v>496</v>
      </c>
      <c r="B194" s="54" t="s">
        <v>87</v>
      </c>
      <c r="C194" s="55" t="s">
        <v>422</v>
      </c>
      <c r="D194" s="55">
        <v>2</v>
      </c>
      <c r="E194" s="55" t="s">
        <v>70</v>
      </c>
      <c r="F194" s="56">
        <f>IFERROR(VLOOKUP($B194,Tipologias!$A$4:$V$8,5,0),"")</f>
        <v>3</v>
      </c>
      <c r="G194" s="56">
        <f>IFERROR(VLOOKUP($B194,Tipologias!$A$4:$V$8,6,0),"")</f>
        <v>3</v>
      </c>
      <c r="H194" s="57">
        <f>IFERROR(VLOOKUP($B194,Tipologias!$A$4:$V$8,9,0),"")</f>
        <v>130.04400000000001</v>
      </c>
      <c r="I194" s="57">
        <f>IFERROR(VLOOKUP($B194,Tipologias!$A$4:$V$8,10,0),"")</f>
        <v>91.53</v>
      </c>
      <c r="J194" s="57">
        <f>IFERROR(VLOOKUP($B194,Tipologias!$A$4:$V$8,16,0),"")</f>
        <v>238.62400000000002</v>
      </c>
      <c r="K194" s="55" t="s">
        <v>114</v>
      </c>
      <c r="L194" s="55"/>
      <c r="M194" s="58">
        <f>IFERROR(VLOOKUP($B194,Tipologias!$A$4:$V$8,19,0),"")</f>
        <v>0</v>
      </c>
      <c r="N194" s="58">
        <f t="shared" si="2"/>
        <v>0</v>
      </c>
      <c r="O194" s="58"/>
      <c r="P194" s="55"/>
      <c r="Q194" s="61" t="s">
        <v>497</v>
      </c>
      <c r="R194" s="50">
        <v>706.38</v>
      </c>
      <c r="S194" s="51">
        <f>IF(OR($H194="",$I194="",$R194=""),"",$R194*Precios!$B$5+$H194*Precios!$B$6+$I194*Precios!$B$7)</f>
        <v>332346.00000000006</v>
      </c>
      <c r="T194" s="52">
        <f>Precios_v2!L205</f>
        <v>324000</v>
      </c>
    </row>
    <row r="195" spans="1:20" ht="15.75" customHeight="1" x14ac:dyDescent="0.25">
      <c r="A195" s="60" t="s">
        <v>498</v>
      </c>
      <c r="B195" s="54" t="s">
        <v>87</v>
      </c>
      <c r="C195" s="55" t="s">
        <v>422</v>
      </c>
      <c r="D195" s="55">
        <v>2</v>
      </c>
      <c r="E195" s="55" t="s">
        <v>70</v>
      </c>
      <c r="F195" s="56">
        <f>IFERROR(VLOOKUP($B195,Tipologias!$A$4:$V$8,5,0),"")</f>
        <v>3</v>
      </c>
      <c r="G195" s="56">
        <f>IFERROR(VLOOKUP($B195,Tipologias!$A$4:$V$8,6,0),"")</f>
        <v>3</v>
      </c>
      <c r="H195" s="57">
        <f>IFERROR(VLOOKUP($B195,Tipologias!$A$4:$V$8,9,0),"")</f>
        <v>130.04400000000001</v>
      </c>
      <c r="I195" s="57">
        <f>IFERROR(VLOOKUP($B195,Tipologias!$A$4:$V$8,10,0),"")</f>
        <v>91.53</v>
      </c>
      <c r="J195" s="57">
        <f>IFERROR(VLOOKUP($B195,Tipologias!$A$4:$V$8,16,0),"")</f>
        <v>238.62400000000002</v>
      </c>
      <c r="K195" s="55" t="s">
        <v>114</v>
      </c>
      <c r="L195" s="55"/>
      <c r="M195" s="58">
        <f>IFERROR(VLOOKUP($B195,Tipologias!$A$4:$V$8,19,0),"")</f>
        <v>0</v>
      </c>
      <c r="N195" s="58">
        <f t="shared" ref="N195:N235" si="3">IF(OR($M195="",$J195=""),"",$M195*$J195)</f>
        <v>0</v>
      </c>
      <c r="O195" s="58"/>
      <c r="P195" s="55"/>
      <c r="Q195" s="61" t="s">
        <v>499</v>
      </c>
      <c r="R195" s="50">
        <v>598.11</v>
      </c>
      <c r="S195" s="51">
        <f>IF(OR($H195="",$I195="",$R195=""),"",$R195*Precios!$B$5+$H195*Precios!$B$6+$I195*Precios!$B$7)</f>
        <v>329097.90000000002</v>
      </c>
      <c r="T195" s="52">
        <f>Precios_v2!L206</f>
        <v>355000</v>
      </c>
    </row>
    <row r="196" spans="1:20" ht="15.75" customHeight="1" x14ac:dyDescent="0.25">
      <c r="A196" s="60" t="s">
        <v>500</v>
      </c>
      <c r="B196" s="54" t="s">
        <v>87</v>
      </c>
      <c r="C196" s="55" t="s">
        <v>422</v>
      </c>
      <c r="D196" s="55">
        <v>2</v>
      </c>
      <c r="E196" s="55" t="s">
        <v>70</v>
      </c>
      <c r="F196" s="56">
        <f>IFERROR(VLOOKUP($B196,Tipologias!$A$4:$V$8,5,0),"")</f>
        <v>3</v>
      </c>
      <c r="G196" s="56">
        <f>IFERROR(VLOOKUP($B196,Tipologias!$A$4:$V$8,6,0),"")</f>
        <v>3</v>
      </c>
      <c r="H196" s="57">
        <f>IFERROR(VLOOKUP($B196,Tipologias!$A$4:$V$8,9,0),"")</f>
        <v>130.04400000000001</v>
      </c>
      <c r="I196" s="57">
        <f>IFERROR(VLOOKUP($B196,Tipologias!$A$4:$V$8,10,0),"")</f>
        <v>91.53</v>
      </c>
      <c r="J196" s="57">
        <f>IFERROR(VLOOKUP($B196,Tipologias!$A$4:$V$8,16,0),"")</f>
        <v>238.62400000000002</v>
      </c>
      <c r="K196" s="55" t="s">
        <v>114</v>
      </c>
      <c r="L196" s="55"/>
      <c r="M196" s="58">
        <f>IFERROR(VLOOKUP($B196,Tipologias!$A$4:$V$8,19,0),"")</f>
        <v>0</v>
      </c>
      <c r="N196" s="58">
        <f t="shared" si="3"/>
        <v>0</v>
      </c>
      <c r="O196" s="58"/>
      <c r="P196" s="55"/>
      <c r="Q196" s="61" t="s">
        <v>501</v>
      </c>
      <c r="R196" s="50">
        <v>600.45000000000005</v>
      </c>
      <c r="S196" s="51">
        <f>IF(OR($H196="",$I196="",$R196=""),"",$R196*Precios!$B$5+$H196*Precios!$B$6+$I196*Precios!$B$7)</f>
        <v>329168.10000000003</v>
      </c>
      <c r="T196" s="52">
        <f>Precios_v2!L207</f>
        <v>342000</v>
      </c>
    </row>
    <row r="197" spans="1:20" ht="15.75" customHeight="1" x14ac:dyDescent="0.25">
      <c r="A197" s="60" t="s">
        <v>502</v>
      </c>
      <c r="B197" s="54" t="s">
        <v>87</v>
      </c>
      <c r="C197" s="55" t="s">
        <v>422</v>
      </c>
      <c r="D197" s="55">
        <v>2</v>
      </c>
      <c r="E197" s="55" t="s">
        <v>70</v>
      </c>
      <c r="F197" s="56">
        <f>IFERROR(VLOOKUP($B197,Tipologias!$A$4:$V$8,5,0),"")</f>
        <v>3</v>
      </c>
      <c r="G197" s="56">
        <f>IFERROR(VLOOKUP($B197,Tipologias!$A$4:$V$8,6,0),"")</f>
        <v>3</v>
      </c>
      <c r="H197" s="57">
        <f>IFERROR(VLOOKUP($B197,Tipologias!$A$4:$V$8,9,0),"")</f>
        <v>130.04400000000001</v>
      </c>
      <c r="I197" s="57">
        <f>IFERROR(VLOOKUP($B197,Tipologias!$A$4:$V$8,10,0),"")</f>
        <v>91.53</v>
      </c>
      <c r="J197" s="57">
        <f>IFERROR(VLOOKUP($B197,Tipologias!$A$4:$V$8,16,0),"")</f>
        <v>238.62400000000002</v>
      </c>
      <c r="K197" s="55" t="s">
        <v>114</v>
      </c>
      <c r="L197" s="55"/>
      <c r="M197" s="58">
        <f>IFERROR(VLOOKUP($B197,Tipologias!$A$4:$V$8,19,0),"")</f>
        <v>0</v>
      </c>
      <c r="N197" s="58">
        <f t="shared" si="3"/>
        <v>0</v>
      </c>
      <c r="O197" s="58"/>
      <c r="P197" s="55"/>
      <c r="Q197" s="61" t="s">
        <v>503</v>
      </c>
      <c r="R197" s="50">
        <v>543.86</v>
      </c>
      <c r="S197" s="51">
        <f>IF(OR($H197="",$I197="",$R197=""),"",$R197*Precios!$B$5+$H197*Precios!$B$6+$I197*Precios!$B$7)</f>
        <v>327470.40000000002</v>
      </c>
      <c r="T197" s="52">
        <f>Precios_v2!L208</f>
        <v>355000</v>
      </c>
    </row>
    <row r="198" spans="1:20" ht="15.75" customHeight="1" x14ac:dyDescent="0.25">
      <c r="A198" s="60" t="s">
        <v>504</v>
      </c>
      <c r="B198" s="54" t="s">
        <v>87</v>
      </c>
      <c r="C198" s="55" t="s">
        <v>422</v>
      </c>
      <c r="D198" s="55">
        <v>2</v>
      </c>
      <c r="E198" s="55" t="s">
        <v>70</v>
      </c>
      <c r="F198" s="56">
        <f>IFERROR(VLOOKUP($B198,Tipologias!$A$4:$V$8,5,0),"")</f>
        <v>3</v>
      </c>
      <c r="G198" s="56">
        <f>IFERROR(VLOOKUP($B198,Tipologias!$A$4:$V$8,6,0),"")</f>
        <v>3</v>
      </c>
      <c r="H198" s="57">
        <f>IFERROR(VLOOKUP($B198,Tipologias!$A$4:$V$8,9,0),"")</f>
        <v>130.04400000000001</v>
      </c>
      <c r="I198" s="57">
        <f>IFERROR(VLOOKUP($B198,Tipologias!$A$4:$V$8,10,0),"")</f>
        <v>91.53</v>
      </c>
      <c r="J198" s="57">
        <f>IFERROR(VLOOKUP($B198,Tipologias!$A$4:$V$8,16,0),"")</f>
        <v>238.62400000000002</v>
      </c>
      <c r="K198" s="55" t="s">
        <v>114</v>
      </c>
      <c r="L198" s="55"/>
      <c r="M198" s="58">
        <f>IFERROR(VLOOKUP($B198,Tipologias!$A$4:$V$8,19,0),"")</f>
        <v>0</v>
      </c>
      <c r="N198" s="58">
        <f t="shared" si="3"/>
        <v>0</v>
      </c>
      <c r="O198" s="58"/>
      <c r="P198" s="55"/>
      <c r="Q198" s="61" t="s">
        <v>505</v>
      </c>
      <c r="R198" s="50">
        <v>514.86</v>
      </c>
      <c r="S198" s="51">
        <f>IF(OR($H198="",$I198="",$R198=""),"",$R198*Precios!$B$5+$H198*Precios!$B$6+$I198*Precios!$B$7)</f>
        <v>326600.40000000002</v>
      </c>
      <c r="T198" s="52">
        <f>Precios_v2!L209</f>
        <v>322000</v>
      </c>
    </row>
    <row r="199" spans="1:20" ht="15.75" customHeight="1" x14ac:dyDescent="0.25">
      <c r="A199" s="60" t="s">
        <v>506</v>
      </c>
      <c r="B199" s="54" t="s">
        <v>87</v>
      </c>
      <c r="C199" s="55" t="s">
        <v>422</v>
      </c>
      <c r="D199" s="55">
        <v>2</v>
      </c>
      <c r="E199" s="55" t="s">
        <v>70</v>
      </c>
      <c r="F199" s="56">
        <f>IFERROR(VLOOKUP($B199,Tipologias!$A$4:$V$8,5,0),"")</f>
        <v>3</v>
      </c>
      <c r="G199" s="56">
        <f>IFERROR(VLOOKUP($B199,Tipologias!$A$4:$V$8,6,0),"")</f>
        <v>3</v>
      </c>
      <c r="H199" s="57">
        <f>IFERROR(VLOOKUP($B199,Tipologias!$A$4:$V$8,9,0),"")</f>
        <v>130.04400000000001</v>
      </c>
      <c r="I199" s="57">
        <f>IFERROR(VLOOKUP($B199,Tipologias!$A$4:$V$8,10,0),"")</f>
        <v>91.53</v>
      </c>
      <c r="J199" s="57">
        <f>IFERROR(VLOOKUP($B199,Tipologias!$A$4:$V$8,16,0),"")</f>
        <v>238.62400000000002</v>
      </c>
      <c r="K199" s="55" t="s">
        <v>114</v>
      </c>
      <c r="L199" s="55"/>
      <c r="M199" s="58">
        <f>IFERROR(VLOOKUP($B199,Tipologias!$A$4:$V$8,19,0),"")</f>
        <v>0</v>
      </c>
      <c r="N199" s="58">
        <f t="shared" si="3"/>
        <v>0</v>
      </c>
      <c r="O199" s="58"/>
      <c r="P199" s="55"/>
      <c r="Q199" s="61" t="s">
        <v>507</v>
      </c>
      <c r="R199" s="50">
        <v>617.64</v>
      </c>
      <c r="S199" s="51">
        <f>IF(OR($H199="",$I199="",$R199=""),"",$R199*Precios!$B$5+$H199*Precios!$B$6+$I199*Precios!$B$7)</f>
        <v>329683.80000000005</v>
      </c>
      <c r="T199" s="52">
        <f>Precios_v2!L210</f>
        <v>369000</v>
      </c>
    </row>
    <row r="200" spans="1:20" ht="15.75" customHeight="1" x14ac:dyDescent="0.25">
      <c r="A200" s="60" t="s">
        <v>508</v>
      </c>
      <c r="B200" s="54" t="s">
        <v>87</v>
      </c>
      <c r="C200" s="55" t="s">
        <v>422</v>
      </c>
      <c r="D200" s="55">
        <v>2</v>
      </c>
      <c r="E200" s="55" t="s">
        <v>70</v>
      </c>
      <c r="F200" s="56">
        <f>IFERROR(VLOOKUP($B200,Tipologias!$A$4:$V$8,5,0),"")</f>
        <v>3</v>
      </c>
      <c r="G200" s="56">
        <f>IFERROR(VLOOKUP($B200,Tipologias!$A$4:$V$8,6,0),"")</f>
        <v>3</v>
      </c>
      <c r="H200" s="57">
        <f>IFERROR(VLOOKUP($B200,Tipologias!$A$4:$V$8,9,0),"")</f>
        <v>130.04400000000001</v>
      </c>
      <c r="I200" s="57">
        <f>IFERROR(VLOOKUP($B200,Tipologias!$A$4:$V$8,10,0),"")</f>
        <v>91.53</v>
      </c>
      <c r="J200" s="57">
        <f>IFERROR(VLOOKUP($B200,Tipologias!$A$4:$V$8,16,0),"")</f>
        <v>238.62400000000002</v>
      </c>
      <c r="K200" s="55" t="s">
        <v>114</v>
      </c>
      <c r="L200" s="55"/>
      <c r="M200" s="58">
        <f>IFERROR(VLOOKUP($B200,Tipologias!$A$4:$V$8,19,0),"")</f>
        <v>0</v>
      </c>
      <c r="N200" s="58">
        <f t="shared" si="3"/>
        <v>0</v>
      </c>
      <c r="O200" s="58"/>
      <c r="P200" s="55"/>
      <c r="Q200" s="61" t="s">
        <v>509</v>
      </c>
      <c r="R200" s="50">
        <v>640.51</v>
      </c>
      <c r="S200" s="51">
        <f>IF(OR($H200="",$I200="",$R200=""),"",$R200*Precios!$B$5+$H200*Precios!$B$6+$I200*Precios!$B$7)</f>
        <v>330369.90000000002</v>
      </c>
      <c r="T200" s="52">
        <f>Precios_v2!L211</f>
        <v>349000</v>
      </c>
    </row>
    <row r="201" spans="1:20" ht="15.75" customHeight="1" x14ac:dyDescent="0.25">
      <c r="A201" s="60" t="s">
        <v>510</v>
      </c>
      <c r="B201" s="54" t="s">
        <v>87</v>
      </c>
      <c r="C201" s="55" t="s">
        <v>422</v>
      </c>
      <c r="D201" s="55">
        <v>2</v>
      </c>
      <c r="E201" s="55" t="s">
        <v>70</v>
      </c>
      <c r="F201" s="56">
        <f>IFERROR(VLOOKUP($B201,Tipologias!$A$4:$V$8,5,0),"")</f>
        <v>3</v>
      </c>
      <c r="G201" s="56">
        <f>IFERROR(VLOOKUP($B201,Tipologias!$A$4:$V$8,6,0),"")</f>
        <v>3</v>
      </c>
      <c r="H201" s="57">
        <f>IFERROR(VLOOKUP($B201,Tipologias!$A$4:$V$8,9,0),"")</f>
        <v>130.04400000000001</v>
      </c>
      <c r="I201" s="57">
        <f>IFERROR(VLOOKUP($B201,Tipologias!$A$4:$V$8,10,0),"")</f>
        <v>91.53</v>
      </c>
      <c r="J201" s="57">
        <f>IFERROR(VLOOKUP($B201,Tipologias!$A$4:$V$8,16,0),"")</f>
        <v>238.62400000000002</v>
      </c>
      <c r="K201" s="55" t="s">
        <v>114</v>
      </c>
      <c r="L201" s="55"/>
      <c r="M201" s="58">
        <f>IFERROR(VLOOKUP($B201,Tipologias!$A$4:$V$8,19,0),"")</f>
        <v>0</v>
      </c>
      <c r="N201" s="58">
        <f t="shared" si="3"/>
        <v>0</v>
      </c>
      <c r="O201" s="58"/>
      <c r="P201" s="55"/>
      <c r="Q201" s="61" t="s">
        <v>511</v>
      </c>
      <c r="R201" s="50">
        <v>716.83</v>
      </c>
      <c r="S201" s="51">
        <f>IF(OR($H201="",$I201="",$R201=""),"",$R201*Precios!$B$5+$H201*Precios!$B$6+$I201*Precios!$B$7)</f>
        <v>332659.50000000006</v>
      </c>
      <c r="T201" s="52">
        <f>Precios_v2!L212</f>
        <v>347000</v>
      </c>
    </row>
    <row r="202" spans="1:20" ht="15.75" customHeight="1" x14ac:dyDescent="0.25">
      <c r="A202" s="60" t="s">
        <v>512</v>
      </c>
      <c r="B202" s="54" t="s">
        <v>87</v>
      </c>
      <c r="C202" s="55" t="s">
        <v>422</v>
      </c>
      <c r="D202" s="55">
        <v>2</v>
      </c>
      <c r="E202" s="55" t="s">
        <v>70</v>
      </c>
      <c r="F202" s="56">
        <f>IFERROR(VLOOKUP($B202,Tipologias!$A$4:$V$8,5,0),"")</f>
        <v>3</v>
      </c>
      <c r="G202" s="56">
        <f>IFERROR(VLOOKUP($B202,Tipologias!$A$4:$V$8,6,0),"")</f>
        <v>3</v>
      </c>
      <c r="H202" s="57">
        <f>IFERROR(VLOOKUP($B202,Tipologias!$A$4:$V$8,9,0),"")</f>
        <v>130.04400000000001</v>
      </c>
      <c r="I202" s="57">
        <f>IFERROR(VLOOKUP($B202,Tipologias!$A$4:$V$8,10,0),"")</f>
        <v>91.53</v>
      </c>
      <c r="J202" s="57">
        <f>IFERROR(VLOOKUP($B202,Tipologias!$A$4:$V$8,16,0),"")</f>
        <v>238.62400000000002</v>
      </c>
      <c r="K202" s="55" t="s">
        <v>114</v>
      </c>
      <c r="L202" s="55"/>
      <c r="M202" s="58">
        <f>IFERROR(VLOOKUP($B202,Tipologias!$A$4:$V$8,19,0),"")</f>
        <v>0</v>
      </c>
      <c r="N202" s="58">
        <f t="shared" si="3"/>
        <v>0</v>
      </c>
      <c r="O202" s="58"/>
      <c r="P202" s="55"/>
      <c r="Q202" s="61" t="s">
        <v>513</v>
      </c>
      <c r="R202" s="50">
        <v>629.35</v>
      </c>
      <c r="S202" s="51">
        <f>IF(OR($H202="",$I202="",$R202=""),"",$R202*Precios!$B$5+$H202*Precios!$B$6+$I202*Precios!$B$7)</f>
        <v>330035.10000000003</v>
      </c>
      <c r="T202" s="52">
        <f>Precios_v2!L213</f>
        <v>336000</v>
      </c>
    </row>
    <row r="203" spans="1:20" ht="15.75" customHeight="1" x14ac:dyDescent="0.25">
      <c r="A203" s="60" t="s">
        <v>514</v>
      </c>
      <c r="B203" s="54" t="s">
        <v>87</v>
      </c>
      <c r="C203" s="55" t="s">
        <v>422</v>
      </c>
      <c r="D203" s="55">
        <v>2</v>
      </c>
      <c r="E203" s="55" t="s">
        <v>70</v>
      </c>
      <c r="F203" s="56">
        <f>IFERROR(VLOOKUP($B203,Tipologias!$A$4:$V$8,5,0),"")</f>
        <v>3</v>
      </c>
      <c r="G203" s="56">
        <f>IFERROR(VLOOKUP($B203,Tipologias!$A$4:$V$8,6,0),"")</f>
        <v>3</v>
      </c>
      <c r="H203" s="57">
        <f>IFERROR(VLOOKUP($B203,Tipologias!$A$4:$V$8,9,0),"")</f>
        <v>130.04400000000001</v>
      </c>
      <c r="I203" s="57">
        <f>IFERROR(VLOOKUP($B203,Tipologias!$A$4:$V$8,10,0),"")</f>
        <v>91.53</v>
      </c>
      <c r="J203" s="57">
        <f>IFERROR(VLOOKUP($B203,Tipologias!$A$4:$V$8,16,0),"")</f>
        <v>238.62400000000002</v>
      </c>
      <c r="K203" s="55" t="s">
        <v>114</v>
      </c>
      <c r="L203" s="55"/>
      <c r="M203" s="58">
        <f>IFERROR(VLOOKUP($B203,Tipologias!$A$4:$V$8,19,0),"")</f>
        <v>0</v>
      </c>
      <c r="N203" s="58">
        <f t="shared" si="3"/>
        <v>0</v>
      </c>
      <c r="O203" s="58"/>
      <c r="P203" s="55"/>
      <c r="Q203" s="61" t="s">
        <v>515</v>
      </c>
      <c r="R203" s="50">
        <v>667.75</v>
      </c>
      <c r="S203" s="51">
        <f>IF(OR($H203="",$I203="",$R203=""),"",$R203*Precios!$B$5+$H203*Precios!$B$6+$I203*Precios!$B$7)</f>
        <v>331187.10000000003</v>
      </c>
      <c r="T203" s="52">
        <f>Precios_v2!L214</f>
        <v>333000</v>
      </c>
    </row>
    <row r="204" spans="1:20" ht="15.75" customHeight="1" x14ac:dyDescent="0.25">
      <c r="A204" s="60" t="s">
        <v>516</v>
      </c>
      <c r="B204" s="54" t="s">
        <v>87</v>
      </c>
      <c r="C204" s="55" t="s">
        <v>422</v>
      </c>
      <c r="D204" s="55">
        <v>2</v>
      </c>
      <c r="E204" s="55" t="s">
        <v>70</v>
      </c>
      <c r="F204" s="56">
        <f>IFERROR(VLOOKUP($B204,Tipologias!$A$4:$V$8,5,0),"")</f>
        <v>3</v>
      </c>
      <c r="G204" s="56">
        <f>IFERROR(VLOOKUP($B204,Tipologias!$A$4:$V$8,6,0),"")</f>
        <v>3</v>
      </c>
      <c r="H204" s="57">
        <f>IFERROR(VLOOKUP($B204,Tipologias!$A$4:$V$8,9,0),"")</f>
        <v>130.04400000000001</v>
      </c>
      <c r="I204" s="57">
        <f>IFERROR(VLOOKUP($B204,Tipologias!$A$4:$V$8,10,0),"")</f>
        <v>91.53</v>
      </c>
      <c r="J204" s="57">
        <f>IFERROR(VLOOKUP($B204,Tipologias!$A$4:$V$8,16,0),"")</f>
        <v>238.62400000000002</v>
      </c>
      <c r="K204" s="55" t="s">
        <v>114</v>
      </c>
      <c r="L204" s="55"/>
      <c r="M204" s="58">
        <f>IFERROR(VLOOKUP($B204,Tipologias!$A$4:$V$8,19,0),"")</f>
        <v>0</v>
      </c>
      <c r="N204" s="58">
        <f t="shared" si="3"/>
        <v>0</v>
      </c>
      <c r="O204" s="58"/>
      <c r="P204" s="55"/>
      <c r="Q204" s="61" t="s">
        <v>517</v>
      </c>
      <c r="R204" s="50">
        <v>666.58</v>
      </c>
      <c r="S204" s="51">
        <f>IF(OR($H204="",$I204="",$R204=""),"",$R204*Precios!$B$5+$H204*Precios!$B$6+$I204*Precios!$B$7)</f>
        <v>331152.00000000006</v>
      </c>
      <c r="T204" s="52">
        <f>Precios_v2!L215</f>
        <v>330000</v>
      </c>
    </row>
    <row r="205" spans="1:20" ht="15.75" customHeight="1" x14ac:dyDescent="0.25">
      <c r="A205" s="60" t="s">
        <v>518</v>
      </c>
      <c r="B205" s="54" t="s">
        <v>87</v>
      </c>
      <c r="C205" s="55" t="s">
        <v>422</v>
      </c>
      <c r="D205" s="55">
        <v>2</v>
      </c>
      <c r="E205" s="55" t="s">
        <v>70</v>
      </c>
      <c r="F205" s="56">
        <f>IFERROR(VLOOKUP($B205,Tipologias!$A$4:$V$8,5,0),"")</f>
        <v>3</v>
      </c>
      <c r="G205" s="56">
        <f>IFERROR(VLOOKUP($B205,Tipologias!$A$4:$V$8,6,0),"")</f>
        <v>3</v>
      </c>
      <c r="H205" s="57">
        <f>IFERROR(VLOOKUP($B205,Tipologias!$A$4:$V$8,9,0),"")</f>
        <v>130.04400000000001</v>
      </c>
      <c r="I205" s="57">
        <f>IFERROR(VLOOKUP($B205,Tipologias!$A$4:$V$8,10,0),"")</f>
        <v>91.53</v>
      </c>
      <c r="J205" s="57">
        <f>IFERROR(VLOOKUP($B205,Tipologias!$A$4:$V$8,16,0),"")</f>
        <v>238.62400000000002</v>
      </c>
      <c r="K205" s="55" t="s">
        <v>114</v>
      </c>
      <c r="L205" s="55"/>
      <c r="M205" s="58">
        <f>IFERROR(VLOOKUP($B205,Tipologias!$A$4:$V$8,19,0),"")</f>
        <v>0</v>
      </c>
      <c r="N205" s="58">
        <f t="shared" si="3"/>
        <v>0</v>
      </c>
      <c r="O205" s="58"/>
      <c r="P205" s="55"/>
      <c r="Q205" s="61" t="s">
        <v>519</v>
      </c>
      <c r="R205" s="50">
        <v>610.66</v>
      </c>
      <c r="S205" s="51">
        <f>IF(OR($H205="",$I205="",$R205=""),"",$R205*Precios!$B$5+$H205*Precios!$B$6+$I205*Precios!$B$7)</f>
        <v>329474.40000000002</v>
      </c>
      <c r="T205" s="52">
        <f>Precios_v2!L216</f>
        <v>332000</v>
      </c>
    </row>
    <row r="206" spans="1:20" ht="15.75" customHeight="1" x14ac:dyDescent="0.25">
      <c r="A206" s="60" t="s">
        <v>520</v>
      </c>
      <c r="B206" s="54" t="s">
        <v>87</v>
      </c>
      <c r="C206" s="55" t="s">
        <v>422</v>
      </c>
      <c r="D206" s="55">
        <v>2</v>
      </c>
      <c r="E206" s="55" t="s">
        <v>70</v>
      </c>
      <c r="F206" s="56">
        <f>IFERROR(VLOOKUP($B206,Tipologias!$A$4:$V$8,5,0),"")</f>
        <v>3</v>
      </c>
      <c r="G206" s="56">
        <f>IFERROR(VLOOKUP($B206,Tipologias!$A$4:$V$8,6,0),"")</f>
        <v>3</v>
      </c>
      <c r="H206" s="57">
        <f>IFERROR(VLOOKUP($B206,Tipologias!$A$4:$V$8,9,0),"")</f>
        <v>130.04400000000001</v>
      </c>
      <c r="I206" s="57">
        <f>IFERROR(VLOOKUP($B206,Tipologias!$A$4:$V$8,10,0),"")</f>
        <v>91.53</v>
      </c>
      <c r="J206" s="57">
        <f>IFERROR(VLOOKUP($B206,Tipologias!$A$4:$V$8,16,0),"")</f>
        <v>238.62400000000002</v>
      </c>
      <c r="K206" s="55" t="s">
        <v>114</v>
      </c>
      <c r="L206" s="55"/>
      <c r="M206" s="58">
        <f>IFERROR(VLOOKUP($B206,Tipologias!$A$4:$V$8,19,0),"")</f>
        <v>0</v>
      </c>
      <c r="N206" s="58">
        <f t="shared" si="3"/>
        <v>0</v>
      </c>
      <c r="O206" s="58"/>
      <c r="P206" s="55"/>
      <c r="Q206" s="61" t="s">
        <v>521</v>
      </c>
      <c r="R206" s="50">
        <v>528.73</v>
      </c>
      <c r="S206" s="51">
        <f>IF(OR($H206="",$I206="",$R206=""),"",$R206*Precios!$B$5+$H206*Precios!$B$6+$I206*Precios!$B$7)</f>
        <v>327016.50000000006</v>
      </c>
      <c r="T206" s="52">
        <f>Precios_v2!L217</f>
        <v>342000</v>
      </c>
    </row>
    <row r="207" spans="1:20" ht="15.75" customHeight="1" x14ac:dyDescent="0.25">
      <c r="A207" s="60" t="s">
        <v>522</v>
      </c>
      <c r="B207" s="54" t="s">
        <v>87</v>
      </c>
      <c r="C207" s="55" t="s">
        <v>422</v>
      </c>
      <c r="D207" s="55">
        <v>2</v>
      </c>
      <c r="E207" s="55" t="s">
        <v>70</v>
      </c>
      <c r="F207" s="56">
        <f>IFERROR(VLOOKUP($B207,Tipologias!$A$4:$V$8,5,0),"")</f>
        <v>3</v>
      </c>
      <c r="G207" s="56">
        <f>IFERROR(VLOOKUP($B207,Tipologias!$A$4:$V$8,6,0),"")</f>
        <v>3</v>
      </c>
      <c r="H207" s="57">
        <f>IFERROR(VLOOKUP($B207,Tipologias!$A$4:$V$8,9,0),"")</f>
        <v>130.04400000000001</v>
      </c>
      <c r="I207" s="57">
        <f>IFERROR(VLOOKUP($B207,Tipologias!$A$4:$V$8,10,0),"")</f>
        <v>91.53</v>
      </c>
      <c r="J207" s="57">
        <f>IFERROR(VLOOKUP($B207,Tipologias!$A$4:$V$8,16,0),"")</f>
        <v>238.62400000000002</v>
      </c>
      <c r="K207" s="55" t="s">
        <v>114</v>
      </c>
      <c r="L207" s="55"/>
      <c r="M207" s="58">
        <f>IFERROR(VLOOKUP($B207,Tipologias!$A$4:$V$8,19,0),"")</f>
        <v>0</v>
      </c>
      <c r="N207" s="58">
        <f t="shared" si="3"/>
        <v>0</v>
      </c>
      <c r="O207" s="58"/>
      <c r="P207" s="55"/>
      <c r="Q207" s="61" t="s">
        <v>523</v>
      </c>
      <c r="R207" s="50">
        <v>635.74</v>
      </c>
      <c r="S207" s="51">
        <f>IF(OR($H207="",$I207="",$R207=""),"",$R207*Precios!$B$5+$H207*Precios!$B$6+$I207*Precios!$B$7)</f>
        <v>330226.80000000005</v>
      </c>
      <c r="T207" s="52">
        <f>Precios_v2!L218</f>
        <v>336000</v>
      </c>
    </row>
    <row r="208" spans="1:20" ht="15.75" customHeight="1" x14ac:dyDescent="0.25">
      <c r="A208" s="60" t="s">
        <v>524</v>
      </c>
      <c r="B208" s="54" t="s">
        <v>87</v>
      </c>
      <c r="C208" s="55" t="s">
        <v>422</v>
      </c>
      <c r="D208" s="55">
        <v>2</v>
      </c>
      <c r="E208" s="55" t="s">
        <v>70</v>
      </c>
      <c r="F208" s="56">
        <f>IFERROR(VLOOKUP($B208,Tipologias!$A$4:$V$8,5,0),"")</f>
        <v>3</v>
      </c>
      <c r="G208" s="56">
        <f>IFERROR(VLOOKUP($B208,Tipologias!$A$4:$V$8,6,0),"")</f>
        <v>3</v>
      </c>
      <c r="H208" s="57">
        <f>IFERROR(VLOOKUP($B208,Tipologias!$A$4:$V$8,9,0),"")</f>
        <v>130.04400000000001</v>
      </c>
      <c r="I208" s="57">
        <f>IFERROR(VLOOKUP($B208,Tipologias!$A$4:$V$8,10,0),"")</f>
        <v>91.53</v>
      </c>
      <c r="J208" s="57">
        <f>IFERROR(VLOOKUP($B208,Tipologias!$A$4:$V$8,16,0),"")</f>
        <v>238.62400000000002</v>
      </c>
      <c r="K208" s="55" t="s">
        <v>114</v>
      </c>
      <c r="L208" s="55"/>
      <c r="M208" s="58">
        <f>IFERROR(VLOOKUP($B208,Tipologias!$A$4:$V$8,19,0),"")</f>
        <v>0</v>
      </c>
      <c r="N208" s="58">
        <f t="shared" si="3"/>
        <v>0</v>
      </c>
      <c r="O208" s="58"/>
      <c r="P208" s="55"/>
      <c r="Q208" s="61" t="s">
        <v>525</v>
      </c>
      <c r="R208" s="50">
        <v>571.20000000000005</v>
      </c>
      <c r="S208" s="51">
        <f>IF(OR($H208="",$I208="",$R208=""),"",$R208*Precios!$B$5+$H208*Precios!$B$6+$I208*Precios!$B$7)</f>
        <v>328290.60000000003</v>
      </c>
      <c r="T208" s="52">
        <f>Precios_v2!L219</f>
        <v>336000</v>
      </c>
    </row>
    <row r="209" spans="1:20" ht="15.75" customHeight="1" x14ac:dyDescent="0.25">
      <c r="A209" s="60" t="s">
        <v>526</v>
      </c>
      <c r="B209" s="54" t="s">
        <v>87</v>
      </c>
      <c r="C209" s="55" t="s">
        <v>422</v>
      </c>
      <c r="D209" s="55">
        <v>2</v>
      </c>
      <c r="E209" s="55" t="s">
        <v>70</v>
      </c>
      <c r="F209" s="56">
        <f>IFERROR(VLOOKUP($B209,Tipologias!$A$4:$V$8,5,0),"")</f>
        <v>3</v>
      </c>
      <c r="G209" s="56">
        <f>IFERROR(VLOOKUP($B209,Tipologias!$A$4:$V$8,6,0),"")</f>
        <v>3</v>
      </c>
      <c r="H209" s="57">
        <f>IFERROR(VLOOKUP($B209,Tipologias!$A$4:$V$8,9,0),"")</f>
        <v>130.04400000000001</v>
      </c>
      <c r="I209" s="57">
        <f>IFERROR(VLOOKUP($B209,Tipologias!$A$4:$V$8,10,0),"")</f>
        <v>91.53</v>
      </c>
      <c r="J209" s="57">
        <f>IFERROR(VLOOKUP($B209,Tipologias!$A$4:$V$8,16,0),"")</f>
        <v>238.62400000000002</v>
      </c>
      <c r="K209" s="55" t="s">
        <v>114</v>
      </c>
      <c r="L209" s="55"/>
      <c r="M209" s="58">
        <f>IFERROR(VLOOKUP($B209,Tipologias!$A$4:$V$8,19,0),"")</f>
        <v>0</v>
      </c>
      <c r="N209" s="58">
        <f t="shared" si="3"/>
        <v>0</v>
      </c>
      <c r="O209" s="58"/>
      <c r="P209" s="55"/>
      <c r="Q209" s="61" t="s">
        <v>527</v>
      </c>
      <c r="R209" s="50">
        <v>594.76</v>
      </c>
      <c r="S209" s="51">
        <f>IF(OR($H209="",$I209="",$R209=""),"",$R209*Precios!$B$5+$H209*Precios!$B$6+$I209*Precios!$B$7)</f>
        <v>328997.40000000002</v>
      </c>
      <c r="T209" s="52">
        <f>Precios_v2!L220</f>
        <v>332000</v>
      </c>
    </row>
    <row r="210" spans="1:20" ht="15.75" customHeight="1" x14ac:dyDescent="0.25">
      <c r="A210" s="60" t="s">
        <v>528</v>
      </c>
      <c r="B210" s="54" t="s">
        <v>87</v>
      </c>
      <c r="C210" s="55" t="s">
        <v>422</v>
      </c>
      <c r="D210" s="55">
        <v>2</v>
      </c>
      <c r="E210" s="55" t="s">
        <v>70</v>
      </c>
      <c r="F210" s="56">
        <f>IFERROR(VLOOKUP($B210,Tipologias!$A$4:$V$8,5,0),"")</f>
        <v>3</v>
      </c>
      <c r="G210" s="56">
        <f>IFERROR(VLOOKUP($B210,Tipologias!$A$4:$V$8,6,0),"")</f>
        <v>3</v>
      </c>
      <c r="H210" s="57">
        <f>IFERROR(VLOOKUP($B210,Tipologias!$A$4:$V$8,9,0),"")</f>
        <v>130.04400000000001</v>
      </c>
      <c r="I210" s="57">
        <f>IFERROR(VLOOKUP($B210,Tipologias!$A$4:$V$8,10,0),"")</f>
        <v>91.53</v>
      </c>
      <c r="J210" s="57">
        <f>IFERROR(VLOOKUP($B210,Tipologias!$A$4:$V$8,16,0),"")</f>
        <v>238.62400000000002</v>
      </c>
      <c r="K210" s="55" t="s">
        <v>114</v>
      </c>
      <c r="L210" s="55"/>
      <c r="M210" s="58">
        <f>IFERROR(VLOOKUP($B210,Tipologias!$A$4:$V$8,19,0),"")</f>
        <v>0</v>
      </c>
      <c r="N210" s="58">
        <f t="shared" si="3"/>
        <v>0</v>
      </c>
      <c r="O210" s="58"/>
      <c r="P210" s="55"/>
      <c r="Q210" s="61" t="s">
        <v>529</v>
      </c>
      <c r="R210" s="50">
        <v>571.22</v>
      </c>
      <c r="S210" s="51">
        <f>IF(OR($H210="",$I210="",$R210=""),"",$R210*Precios!$B$5+$H210*Precios!$B$6+$I210*Precios!$B$7)</f>
        <v>328291.20000000001</v>
      </c>
      <c r="T210" s="52">
        <f>Precios_v2!L221</f>
        <v>342000</v>
      </c>
    </row>
    <row r="211" spans="1:20" ht="15.75" customHeight="1" x14ac:dyDescent="0.25">
      <c r="A211" s="60" t="s">
        <v>530</v>
      </c>
      <c r="B211" s="54" t="s">
        <v>87</v>
      </c>
      <c r="C211" s="55" t="s">
        <v>422</v>
      </c>
      <c r="D211" s="55">
        <v>2</v>
      </c>
      <c r="E211" s="55" t="s">
        <v>70</v>
      </c>
      <c r="F211" s="56">
        <f>IFERROR(VLOOKUP($B211,Tipologias!$A$4:$V$8,5,0),"")</f>
        <v>3</v>
      </c>
      <c r="G211" s="56">
        <f>IFERROR(VLOOKUP($B211,Tipologias!$A$4:$V$8,6,0),"")</f>
        <v>3</v>
      </c>
      <c r="H211" s="57">
        <f>IFERROR(VLOOKUP($B211,Tipologias!$A$4:$V$8,9,0),"")</f>
        <v>130.04400000000001</v>
      </c>
      <c r="I211" s="57">
        <f>IFERROR(VLOOKUP($B211,Tipologias!$A$4:$V$8,10,0),"")</f>
        <v>91.53</v>
      </c>
      <c r="J211" s="57">
        <f>IFERROR(VLOOKUP($B211,Tipologias!$A$4:$V$8,16,0),"")</f>
        <v>238.62400000000002</v>
      </c>
      <c r="K211" s="55" t="s">
        <v>114</v>
      </c>
      <c r="L211" s="55"/>
      <c r="M211" s="58">
        <f>IFERROR(VLOOKUP($B211,Tipologias!$A$4:$V$8,19,0),"")</f>
        <v>0</v>
      </c>
      <c r="N211" s="58">
        <f t="shared" si="3"/>
        <v>0</v>
      </c>
      <c r="O211" s="58"/>
      <c r="P211" s="55"/>
      <c r="Q211" s="61" t="s">
        <v>531</v>
      </c>
      <c r="R211" s="50">
        <v>530.14</v>
      </c>
      <c r="S211" s="51">
        <f>IF(OR($H211="",$I211="",$R211=""),"",$R211*Precios!$B$5+$H211*Precios!$B$6+$I211*Precios!$B$7)</f>
        <v>327058.80000000005</v>
      </c>
      <c r="T211" s="52">
        <f>Precios_v2!L222</f>
        <v>352000</v>
      </c>
    </row>
    <row r="212" spans="1:20" ht="15.75" customHeight="1" x14ac:dyDescent="0.25">
      <c r="A212" s="60" t="s">
        <v>532</v>
      </c>
      <c r="B212" s="54" t="s">
        <v>87</v>
      </c>
      <c r="C212" s="55" t="s">
        <v>422</v>
      </c>
      <c r="D212" s="55">
        <v>2</v>
      </c>
      <c r="E212" s="55" t="s">
        <v>70</v>
      </c>
      <c r="F212" s="56">
        <f>IFERROR(VLOOKUP($B212,Tipologias!$A$4:$V$8,5,0),"")</f>
        <v>3</v>
      </c>
      <c r="G212" s="56">
        <f>IFERROR(VLOOKUP($B212,Tipologias!$A$4:$V$8,6,0),"")</f>
        <v>3</v>
      </c>
      <c r="H212" s="57">
        <f>IFERROR(VLOOKUP($B212,Tipologias!$A$4:$V$8,9,0),"")</f>
        <v>130.04400000000001</v>
      </c>
      <c r="I212" s="57">
        <f>IFERROR(VLOOKUP($B212,Tipologias!$A$4:$V$8,10,0),"")</f>
        <v>91.53</v>
      </c>
      <c r="J212" s="57">
        <f>IFERROR(VLOOKUP($B212,Tipologias!$A$4:$V$8,16,0),"")</f>
        <v>238.62400000000002</v>
      </c>
      <c r="K212" s="55" t="s">
        <v>114</v>
      </c>
      <c r="L212" s="55"/>
      <c r="M212" s="58">
        <f>IFERROR(VLOOKUP($B212,Tipologias!$A$4:$V$8,19,0),"")</f>
        <v>0</v>
      </c>
      <c r="N212" s="58">
        <f t="shared" si="3"/>
        <v>0</v>
      </c>
      <c r="O212" s="58"/>
      <c r="P212" s="55"/>
      <c r="Q212" s="61" t="s">
        <v>533</v>
      </c>
      <c r="R212" s="50">
        <v>624.99</v>
      </c>
      <c r="S212" s="51">
        <f>IF(OR($H212="",$I212="",$R212=""),"",$R212*Precios!$B$5+$H212*Precios!$B$6+$I212*Precios!$B$7)</f>
        <v>329904.30000000005</v>
      </c>
      <c r="T212" s="52">
        <f>Precios_v2!L223</f>
        <v>319000</v>
      </c>
    </row>
    <row r="213" spans="1:20" ht="15.75" customHeight="1" x14ac:dyDescent="0.25">
      <c r="A213" s="60" t="s">
        <v>534</v>
      </c>
      <c r="B213" s="54" t="s">
        <v>87</v>
      </c>
      <c r="C213" s="55" t="s">
        <v>361</v>
      </c>
      <c r="D213" s="55">
        <v>2</v>
      </c>
      <c r="E213" s="55" t="s">
        <v>70</v>
      </c>
      <c r="F213" s="56">
        <f>IFERROR(VLOOKUP($B213,Tipologias!$A$4:$V$8,5,0),"")</f>
        <v>3</v>
      </c>
      <c r="G213" s="56">
        <f>IFERROR(VLOOKUP($B213,Tipologias!$A$4:$V$8,6,0),"")</f>
        <v>3</v>
      </c>
      <c r="H213" s="57">
        <f>IFERROR(VLOOKUP($B213,Tipologias!$A$4:$V$8,9,0),"")</f>
        <v>130.04400000000001</v>
      </c>
      <c r="I213" s="57">
        <f>IFERROR(VLOOKUP($B213,Tipologias!$A$4:$V$8,10,0),"")</f>
        <v>91.53</v>
      </c>
      <c r="J213" s="57">
        <f>IFERROR(VLOOKUP($B213,Tipologias!$A$4:$V$8,16,0),"")</f>
        <v>238.62400000000002</v>
      </c>
      <c r="K213" s="55" t="s">
        <v>114</v>
      </c>
      <c r="L213" s="55"/>
      <c r="M213" s="58">
        <f>IFERROR(VLOOKUP($B213,Tipologias!$A$4:$V$8,19,0),"")</f>
        <v>0</v>
      </c>
      <c r="N213" s="58">
        <f t="shared" si="3"/>
        <v>0</v>
      </c>
      <c r="O213" s="58"/>
      <c r="P213" s="55"/>
      <c r="Q213" s="61" t="s">
        <v>535</v>
      </c>
      <c r="R213" s="50">
        <v>795.94</v>
      </c>
      <c r="S213" s="51">
        <f>IF(OR($H213="",$I213="",$R213=""),"",$R213*Precios!$B$5+$H213*Precios!$B$6+$I213*Precios!$B$7)</f>
        <v>335032.80000000005</v>
      </c>
      <c r="T213" s="52">
        <f>Precios_v2!L224</f>
        <v>328000</v>
      </c>
    </row>
    <row r="214" spans="1:20" ht="15.75" customHeight="1" x14ac:dyDescent="0.25">
      <c r="A214" s="60" t="s">
        <v>536</v>
      </c>
      <c r="B214" s="54" t="s">
        <v>87</v>
      </c>
      <c r="C214" s="55" t="s">
        <v>361</v>
      </c>
      <c r="D214" s="55">
        <v>2</v>
      </c>
      <c r="E214" s="55" t="s">
        <v>70</v>
      </c>
      <c r="F214" s="56">
        <f>IFERROR(VLOOKUP($B214,Tipologias!$A$4:$V$8,5,0),"")</f>
        <v>3</v>
      </c>
      <c r="G214" s="56">
        <f>IFERROR(VLOOKUP($B214,Tipologias!$A$4:$V$8,6,0),"")</f>
        <v>3</v>
      </c>
      <c r="H214" s="57">
        <f>IFERROR(VLOOKUP($B214,Tipologias!$A$4:$V$8,9,0),"")</f>
        <v>130.04400000000001</v>
      </c>
      <c r="I214" s="57">
        <f>IFERROR(VLOOKUP($B214,Tipologias!$A$4:$V$8,10,0),"")</f>
        <v>91.53</v>
      </c>
      <c r="J214" s="57">
        <f>IFERROR(VLOOKUP($B214,Tipologias!$A$4:$V$8,16,0),"")</f>
        <v>238.62400000000002</v>
      </c>
      <c r="K214" s="55" t="s">
        <v>114</v>
      </c>
      <c r="L214" s="55"/>
      <c r="M214" s="58">
        <f>IFERROR(VLOOKUP($B214,Tipologias!$A$4:$V$8,19,0),"")</f>
        <v>0</v>
      </c>
      <c r="N214" s="58">
        <f t="shared" si="3"/>
        <v>0</v>
      </c>
      <c r="O214" s="58"/>
      <c r="P214" s="55"/>
      <c r="Q214" s="61" t="s">
        <v>537</v>
      </c>
      <c r="R214" s="50">
        <v>766.81</v>
      </c>
      <c r="S214" s="51">
        <f>IF(OR($H214="",$I214="",$R214=""),"",$R214*Precios!$B$5+$H214*Precios!$B$6+$I214*Precios!$B$7)</f>
        <v>334158.90000000002</v>
      </c>
      <c r="T214" s="52">
        <f>Precios_v2!L225</f>
        <v>347000</v>
      </c>
    </row>
    <row r="215" spans="1:20" ht="15.75" customHeight="1" x14ac:dyDescent="0.25">
      <c r="A215" s="60" t="s">
        <v>538</v>
      </c>
      <c r="B215" s="54" t="s">
        <v>87</v>
      </c>
      <c r="C215" s="55" t="s">
        <v>361</v>
      </c>
      <c r="D215" s="55">
        <v>2</v>
      </c>
      <c r="E215" s="55" t="s">
        <v>70</v>
      </c>
      <c r="F215" s="56">
        <f>IFERROR(VLOOKUP($B215,Tipologias!$A$4:$V$8,5,0),"")</f>
        <v>3</v>
      </c>
      <c r="G215" s="56">
        <f>IFERROR(VLOOKUP($B215,Tipologias!$A$4:$V$8,6,0),"")</f>
        <v>3</v>
      </c>
      <c r="H215" s="57">
        <f>IFERROR(VLOOKUP($B215,Tipologias!$A$4:$V$8,9,0),"")</f>
        <v>130.04400000000001</v>
      </c>
      <c r="I215" s="57">
        <f>IFERROR(VLOOKUP($B215,Tipologias!$A$4:$V$8,10,0),"")</f>
        <v>91.53</v>
      </c>
      <c r="J215" s="57">
        <f>IFERROR(VLOOKUP($B215,Tipologias!$A$4:$V$8,16,0),"")</f>
        <v>238.62400000000002</v>
      </c>
      <c r="K215" s="55" t="s">
        <v>114</v>
      </c>
      <c r="L215" s="55"/>
      <c r="M215" s="58">
        <f>IFERROR(VLOOKUP($B215,Tipologias!$A$4:$V$8,19,0),"")</f>
        <v>0</v>
      </c>
      <c r="N215" s="58">
        <f t="shared" si="3"/>
        <v>0</v>
      </c>
      <c r="O215" s="58"/>
      <c r="P215" s="55"/>
      <c r="Q215" s="61" t="s">
        <v>539</v>
      </c>
      <c r="R215" s="50">
        <v>712.57</v>
      </c>
      <c r="S215" s="51">
        <f>IF(OR($H215="",$I215="",$R215=""),"",$R215*Precios!$B$5+$H215*Precios!$B$6+$I215*Precios!$B$7)</f>
        <v>332531.7</v>
      </c>
      <c r="T215" s="52">
        <f>Precios_v2!L226</f>
        <v>327000</v>
      </c>
    </row>
    <row r="216" spans="1:20" ht="15.75" customHeight="1" x14ac:dyDescent="0.25">
      <c r="A216" s="60" t="s">
        <v>540</v>
      </c>
      <c r="B216" s="54" t="s">
        <v>87</v>
      </c>
      <c r="C216" s="55" t="s">
        <v>361</v>
      </c>
      <c r="D216" s="55">
        <v>2</v>
      </c>
      <c r="E216" s="55" t="s">
        <v>70</v>
      </c>
      <c r="F216" s="56">
        <f>IFERROR(VLOOKUP($B216,Tipologias!$A$4:$V$8,5,0),"")</f>
        <v>3</v>
      </c>
      <c r="G216" s="56">
        <f>IFERROR(VLOOKUP($B216,Tipologias!$A$4:$V$8,6,0),"")</f>
        <v>3</v>
      </c>
      <c r="H216" s="57">
        <f>IFERROR(VLOOKUP($B216,Tipologias!$A$4:$V$8,9,0),"")</f>
        <v>130.04400000000001</v>
      </c>
      <c r="I216" s="57">
        <f>IFERROR(VLOOKUP($B216,Tipologias!$A$4:$V$8,10,0),"")</f>
        <v>91.53</v>
      </c>
      <c r="J216" s="57">
        <f>IFERROR(VLOOKUP($B216,Tipologias!$A$4:$V$8,16,0),"")</f>
        <v>238.62400000000002</v>
      </c>
      <c r="K216" s="55" t="s">
        <v>114</v>
      </c>
      <c r="L216" s="55"/>
      <c r="M216" s="58">
        <f>IFERROR(VLOOKUP($B216,Tipologias!$A$4:$V$8,19,0),"")</f>
        <v>0</v>
      </c>
      <c r="N216" s="58">
        <f t="shared" si="3"/>
        <v>0</v>
      </c>
      <c r="O216" s="58"/>
      <c r="P216" s="55"/>
      <c r="Q216" s="61" t="s">
        <v>541</v>
      </c>
      <c r="R216" s="50">
        <v>768.91</v>
      </c>
      <c r="S216" s="51">
        <f>IF(OR($H216="",$I216="",$R216=""),"",$R216*Precios!$B$5+$H216*Precios!$B$6+$I216*Precios!$B$7)</f>
        <v>334221.90000000002</v>
      </c>
      <c r="T216" s="52">
        <f>Precios_v2!L227</f>
        <v>341000</v>
      </c>
    </row>
    <row r="217" spans="1:20" ht="15.75" customHeight="1" x14ac:dyDescent="0.25">
      <c r="A217" s="60" t="s">
        <v>542</v>
      </c>
      <c r="B217" s="54" t="s">
        <v>87</v>
      </c>
      <c r="C217" s="55" t="s">
        <v>361</v>
      </c>
      <c r="D217" s="55">
        <v>2</v>
      </c>
      <c r="E217" s="55" t="s">
        <v>70</v>
      </c>
      <c r="F217" s="56">
        <f>IFERROR(VLOOKUP($B217,Tipologias!$A$4:$V$8,5,0),"")</f>
        <v>3</v>
      </c>
      <c r="G217" s="56">
        <f>IFERROR(VLOOKUP($B217,Tipologias!$A$4:$V$8,6,0),"")</f>
        <v>3</v>
      </c>
      <c r="H217" s="57">
        <f>IFERROR(VLOOKUP($B217,Tipologias!$A$4:$V$8,9,0),"")</f>
        <v>130.04400000000001</v>
      </c>
      <c r="I217" s="57">
        <f>IFERROR(VLOOKUP($B217,Tipologias!$A$4:$V$8,10,0),"")</f>
        <v>91.53</v>
      </c>
      <c r="J217" s="57">
        <f>IFERROR(VLOOKUP($B217,Tipologias!$A$4:$V$8,16,0),"")</f>
        <v>238.62400000000002</v>
      </c>
      <c r="K217" s="55" t="s">
        <v>114</v>
      </c>
      <c r="L217" s="55"/>
      <c r="M217" s="58">
        <f>IFERROR(VLOOKUP($B217,Tipologias!$A$4:$V$8,19,0),"")</f>
        <v>0</v>
      </c>
      <c r="N217" s="58">
        <f t="shared" si="3"/>
        <v>0</v>
      </c>
      <c r="O217" s="58"/>
      <c r="P217" s="55"/>
      <c r="Q217" s="61" t="s">
        <v>543</v>
      </c>
      <c r="R217" s="50">
        <v>817.59</v>
      </c>
      <c r="S217" s="51">
        <f>IF(OR($H217="",$I217="",$R217=""),"",$R217*Precios!$B$5+$H217*Precios!$B$6+$I217*Precios!$B$7)</f>
        <v>335682.30000000005</v>
      </c>
      <c r="T217" s="52">
        <f>Precios_v2!L228</f>
        <v>338000</v>
      </c>
    </row>
    <row r="218" spans="1:20" ht="15.75" customHeight="1" x14ac:dyDescent="0.25">
      <c r="A218" s="60" t="s">
        <v>544</v>
      </c>
      <c r="B218" s="54" t="s">
        <v>87</v>
      </c>
      <c r="C218" s="55" t="s">
        <v>361</v>
      </c>
      <c r="D218" s="55">
        <v>2</v>
      </c>
      <c r="E218" s="55" t="s">
        <v>70</v>
      </c>
      <c r="F218" s="56">
        <f>IFERROR(VLOOKUP($B218,Tipologias!$A$4:$V$8,5,0),"")</f>
        <v>3</v>
      </c>
      <c r="G218" s="56">
        <f>IFERROR(VLOOKUP($B218,Tipologias!$A$4:$V$8,6,0),"")</f>
        <v>3</v>
      </c>
      <c r="H218" s="57">
        <f>IFERROR(VLOOKUP($B218,Tipologias!$A$4:$V$8,9,0),"")</f>
        <v>130.04400000000001</v>
      </c>
      <c r="I218" s="57">
        <f>IFERROR(VLOOKUP($B218,Tipologias!$A$4:$V$8,10,0),"")</f>
        <v>91.53</v>
      </c>
      <c r="J218" s="57">
        <f>IFERROR(VLOOKUP($B218,Tipologias!$A$4:$V$8,16,0),"")</f>
        <v>238.62400000000002</v>
      </c>
      <c r="K218" s="55" t="s">
        <v>114</v>
      </c>
      <c r="L218" s="55"/>
      <c r="M218" s="58">
        <f>IFERROR(VLOOKUP($B218,Tipologias!$A$4:$V$8,19,0),"")</f>
        <v>0</v>
      </c>
      <c r="N218" s="58">
        <f t="shared" si="3"/>
        <v>0</v>
      </c>
      <c r="O218" s="58"/>
      <c r="P218" s="55"/>
      <c r="Q218" s="61" t="s">
        <v>545</v>
      </c>
      <c r="R218" s="50">
        <v>957.12</v>
      </c>
      <c r="S218" s="51">
        <f>IF(OR($H218="",$I218="",$R218=""),"",$R218*Precios!$B$5+$H218*Precios!$B$6+$I218*Precios!$B$7)</f>
        <v>339868.2</v>
      </c>
      <c r="T218" s="52">
        <f>Precios_v2!L229</f>
        <v>333000</v>
      </c>
    </row>
    <row r="219" spans="1:20" ht="15.75" customHeight="1" x14ac:dyDescent="0.25">
      <c r="A219" s="60" t="s">
        <v>546</v>
      </c>
      <c r="B219" s="54" t="s">
        <v>87</v>
      </c>
      <c r="C219" s="55" t="s">
        <v>361</v>
      </c>
      <c r="D219" s="55">
        <v>2</v>
      </c>
      <c r="E219" s="55" t="s">
        <v>70</v>
      </c>
      <c r="F219" s="56">
        <f>IFERROR(VLOOKUP($B219,Tipologias!$A$4:$V$8,5,0),"")</f>
        <v>3</v>
      </c>
      <c r="G219" s="56">
        <f>IFERROR(VLOOKUP($B219,Tipologias!$A$4:$V$8,6,0),"")</f>
        <v>3</v>
      </c>
      <c r="H219" s="57">
        <f>IFERROR(VLOOKUP($B219,Tipologias!$A$4:$V$8,9,0),"")</f>
        <v>130.04400000000001</v>
      </c>
      <c r="I219" s="57">
        <f>IFERROR(VLOOKUP($B219,Tipologias!$A$4:$V$8,10,0),"")</f>
        <v>91.53</v>
      </c>
      <c r="J219" s="57">
        <f>IFERROR(VLOOKUP($B219,Tipologias!$A$4:$V$8,16,0),"")</f>
        <v>238.62400000000002</v>
      </c>
      <c r="K219" s="55" t="s">
        <v>114</v>
      </c>
      <c r="L219" s="55"/>
      <c r="M219" s="58">
        <f>IFERROR(VLOOKUP($B219,Tipologias!$A$4:$V$8,19,0),"")</f>
        <v>0</v>
      </c>
      <c r="N219" s="58">
        <f t="shared" si="3"/>
        <v>0</v>
      </c>
      <c r="O219" s="58"/>
      <c r="P219" s="55"/>
      <c r="Q219" s="61" t="s">
        <v>547</v>
      </c>
      <c r="R219" s="50">
        <v>1101.92</v>
      </c>
      <c r="S219" s="51">
        <f>IF(OR($H219="",$I219="",$R219=""),"",$R219*Precios!$B$5+$H219*Precios!$B$6+$I219*Precios!$B$7)</f>
        <v>344212.20000000007</v>
      </c>
      <c r="T219" s="52">
        <f>Precios_v2!L230</f>
        <v>338000</v>
      </c>
    </row>
    <row r="220" spans="1:20" ht="15.75" customHeight="1" x14ac:dyDescent="0.25">
      <c r="A220" s="60" t="s">
        <v>548</v>
      </c>
      <c r="B220" s="54" t="s">
        <v>87</v>
      </c>
      <c r="C220" s="55" t="s">
        <v>361</v>
      </c>
      <c r="D220" s="55">
        <v>2</v>
      </c>
      <c r="E220" s="55" t="s">
        <v>70</v>
      </c>
      <c r="F220" s="56">
        <f>IFERROR(VLOOKUP($B220,Tipologias!$A$4:$V$8,5,0),"")</f>
        <v>3</v>
      </c>
      <c r="G220" s="56">
        <f>IFERROR(VLOOKUP($B220,Tipologias!$A$4:$V$8,6,0),"")</f>
        <v>3</v>
      </c>
      <c r="H220" s="57">
        <f>IFERROR(VLOOKUP($B220,Tipologias!$A$4:$V$8,9,0),"")</f>
        <v>130.04400000000001</v>
      </c>
      <c r="I220" s="57">
        <f>IFERROR(VLOOKUP($B220,Tipologias!$A$4:$V$8,10,0),"")</f>
        <v>91.53</v>
      </c>
      <c r="J220" s="57">
        <f>IFERROR(VLOOKUP($B220,Tipologias!$A$4:$V$8,16,0),"")</f>
        <v>238.62400000000002</v>
      </c>
      <c r="K220" s="55" t="s">
        <v>114</v>
      </c>
      <c r="L220" s="55"/>
      <c r="M220" s="58">
        <f>IFERROR(VLOOKUP($B220,Tipologias!$A$4:$V$8,19,0),"")</f>
        <v>0</v>
      </c>
      <c r="N220" s="58">
        <f t="shared" si="3"/>
        <v>0</v>
      </c>
      <c r="O220" s="58"/>
      <c r="P220" s="55"/>
      <c r="Q220" s="61" t="s">
        <v>549</v>
      </c>
      <c r="R220" s="50">
        <v>745.35</v>
      </c>
      <c r="S220" s="51">
        <f>IF(OR($H220="",$I220="",$R220=""),"",$R220*Precios!$B$5+$H220*Precios!$B$6+$I220*Precios!$B$7)</f>
        <v>333515.10000000003</v>
      </c>
      <c r="T220" s="52">
        <f>Precios_v2!L231</f>
        <v>331000</v>
      </c>
    </row>
    <row r="221" spans="1:20" ht="15.75" customHeight="1" x14ac:dyDescent="0.25">
      <c r="A221" s="60" t="s">
        <v>550</v>
      </c>
      <c r="B221" s="54" t="s">
        <v>87</v>
      </c>
      <c r="C221" s="55" t="s">
        <v>361</v>
      </c>
      <c r="D221" s="55">
        <v>2</v>
      </c>
      <c r="E221" s="55" t="s">
        <v>70</v>
      </c>
      <c r="F221" s="56">
        <f>IFERROR(VLOOKUP($B221,Tipologias!$A$4:$V$8,5,0),"")</f>
        <v>3</v>
      </c>
      <c r="G221" s="56">
        <f>IFERROR(VLOOKUP($B221,Tipologias!$A$4:$V$8,6,0),"")</f>
        <v>3</v>
      </c>
      <c r="H221" s="57">
        <f>IFERROR(VLOOKUP($B221,Tipologias!$A$4:$V$8,9,0),"")</f>
        <v>130.04400000000001</v>
      </c>
      <c r="I221" s="57">
        <f>IFERROR(VLOOKUP($B221,Tipologias!$A$4:$V$8,10,0),"")</f>
        <v>91.53</v>
      </c>
      <c r="J221" s="57">
        <f>IFERROR(VLOOKUP($B221,Tipologias!$A$4:$V$8,16,0),"")</f>
        <v>238.62400000000002</v>
      </c>
      <c r="K221" s="55" t="s">
        <v>114</v>
      </c>
      <c r="L221" s="55"/>
      <c r="M221" s="58">
        <f>IFERROR(VLOOKUP($B221,Tipologias!$A$4:$V$8,19,0),"")</f>
        <v>0</v>
      </c>
      <c r="N221" s="58">
        <f t="shared" si="3"/>
        <v>0</v>
      </c>
      <c r="O221" s="58"/>
      <c r="P221" s="55"/>
      <c r="Q221" s="61" t="s">
        <v>551</v>
      </c>
      <c r="R221" s="50">
        <v>713.82</v>
      </c>
      <c r="S221" s="51">
        <f>IF(OR($H221="",$I221="",$R221=""),"",$R221*Precios!$B$5+$H221*Precios!$B$6+$I221*Precios!$B$7)</f>
        <v>332569.2</v>
      </c>
      <c r="T221" s="52">
        <f>Precios_v2!L232</f>
        <v>344000</v>
      </c>
    </row>
    <row r="222" spans="1:20" ht="15.75" customHeight="1" x14ac:dyDescent="0.25">
      <c r="A222" s="60" t="s">
        <v>552</v>
      </c>
      <c r="B222" s="54" t="s">
        <v>87</v>
      </c>
      <c r="C222" s="55" t="s">
        <v>361</v>
      </c>
      <c r="D222" s="55">
        <v>2</v>
      </c>
      <c r="E222" s="55" t="s">
        <v>70</v>
      </c>
      <c r="F222" s="56">
        <f>IFERROR(VLOOKUP($B222,Tipologias!$A$4:$V$8,5,0),"")</f>
        <v>3</v>
      </c>
      <c r="G222" s="56">
        <f>IFERROR(VLOOKUP($B222,Tipologias!$A$4:$V$8,6,0),"")</f>
        <v>3</v>
      </c>
      <c r="H222" s="57">
        <f>IFERROR(VLOOKUP($B222,Tipologias!$A$4:$V$8,9,0),"")</f>
        <v>130.04400000000001</v>
      </c>
      <c r="I222" s="57">
        <f>IFERROR(VLOOKUP($B222,Tipologias!$A$4:$V$8,10,0),"")</f>
        <v>91.53</v>
      </c>
      <c r="J222" s="57">
        <f>IFERROR(VLOOKUP($B222,Tipologias!$A$4:$V$8,16,0),"")</f>
        <v>238.62400000000002</v>
      </c>
      <c r="K222" s="55" t="s">
        <v>114</v>
      </c>
      <c r="L222" s="55"/>
      <c r="M222" s="58">
        <f>IFERROR(VLOOKUP($B222,Tipologias!$A$4:$V$8,19,0),"")</f>
        <v>0</v>
      </c>
      <c r="N222" s="58">
        <f t="shared" si="3"/>
        <v>0</v>
      </c>
      <c r="O222" s="58"/>
      <c r="P222" s="55"/>
      <c r="Q222" s="61" t="s">
        <v>553</v>
      </c>
      <c r="R222" s="50">
        <v>960.72</v>
      </c>
      <c r="S222" s="51">
        <f>IF(OR($H222="",$I222="",$R222=""),"",$R222*Precios!$B$5+$H222*Precios!$B$6+$I222*Precios!$B$7)</f>
        <v>339976.2</v>
      </c>
      <c r="T222" s="52">
        <f>Precios_v2!L233</f>
        <v>350000</v>
      </c>
    </row>
    <row r="223" spans="1:20" ht="15.75" customHeight="1" x14ac:dyDescent="0.25">
      <c r="A223" s="60" t="s">
        <v>554</v>
      </c>
      <c r="B223" s="54" t="s">
        <v>87</v>
      </c>
      <c r="C223" s="55" t="s">
        <v>361</v>
      </c>
      <c r="D223" s="55">
        <v>2</v>
      </c>
      <c r="E223" s="55" t="s">
        <v>70</v>
      </c>
      <c r="F223" s="56">
        <f>IFERROR(VLOOKUP($B223,Tipologias!$A$4:$V$8,5,0),"")</f>
        <v>3</v>
      </c>
      <c r="G223" s="56">
        <f>IFERROR(VLOOKUP($B223,Tipologias!$A$4:$V$8,6,0),"")</f>
        <v>3</v>
      </c>
      <c r="H223" s="57">
        <f>IFERROR(VLOOKUP($B223,Tipologias!$A$4:$V$8,9,0),"")</f>
        <v>130.04400000000001</v>
      </c>
      <c r="I223" s="57">
        <f>IFERROR(VLOOKUP($B223,Tipologias!$A$4:$V$8,10,0),"")</f>
        <v>91.53</v>
      </c>
      <c r="J223" s="57">
        <f>IFERROR(VLOOKUP($B223,Tipologias!$A$4:$V$8,16,0),"")</f>
        <v>238.62400000000002</v>
      </c>
      <c r="K223" s="55" t="s">
        <v>114</v>
      </c>
      <c r="L223" s="55"/>
      <c r="M223" s="58">
        <f>IFERROR(VLOOKUP($B223,Tipologias!$A$4:$V$8,19,0),"")</f>
        <v>0</v>
      </c>
      <c r="N223" s="58">
        <f t="shared" si="3"/>
        <v>0</v>
      </c>
      <c r="O223" s="58"/>
      <c r="P223" s="55"/>
      <c r="Q223" s="61" t="s">
        <v>555</v>
      </c>
      <c r="R223" s="50">
        <v>968</v>
      </c>
      <c r="S223" s="51">
        <f>IF(OR($H223="",$I223="",$R223=""),"",$R223*Precios!$B$5+$H223*Precios!$B$6+$I223*Precios!$B$7)</f>
        <v>340194.60000000003</v>
      </c>
      <c r="T223" s="52">
        <f>Precios_v2!L234</f>
        <v>347000</v>
      </c>
    </row>
    <row r="224" spans="1:20" ht="15.75" customHeight="1" x14ac:dyDescent="0.25">
      <c r="A224" s="60" t="s">
        <v>556</v>
      </c>
      <c r="B224" s="54" t="s">
        <v>87</v>
      </c>
      <c r="C224" s="55" t="s">
        <v>361</v>
      </c>
      <c r="D224" s="55">
        <v>2</v>
      </c>
      <c r="E224" s="55" t="s">
        <v>70</v>
      </c>
      <c r="F224" s="56">
        <f>IFERROR(VLOOKUP($B224,Tipologias!$A$4:$V$8,5,0),"")</f>
        <v>3</v>
      </c>
      <c r="G224" s="56">
        <f>IFERROR(VLOOKUP($B224,Tipologias!$A$4:$V$8,6,0),"")</f>
        <v>3</v>
      </c>
      <c r="H224" s="57">
        <f>IFERROR(VLOOKUP($B224,Tipologias!$A$4:$V$8,9,0),"")</f>
        <v>130.04400000000001</v>
      </c>
      <c r="I224" s="57">
        <f>IFERROR(VLOOKUP($B224,Tipologias!$A$4:$V$8,10,0),"")</f>
        <v>91.53</v>
      </c>
      <c r="J224" s="57">
        <f>IFERROR(VLOOKUP($B224,Tipologias!$A$4:$V$8,16,0),"")</f>
        <v>238.62400000000002</v>
      </c>
      <c r="K224" s="55" t="s">
        <v>114</v>
      </c>
      <c r="L224" s="55"/>
      <c r="M224" s="58">
        <f>IFERROR(VLOOKUP($B224,Tipologias!$A$4:$V$8,19,0),"")</f>
        <v>0</v>
      </c>
      <c r="N224" s="58">
        <f t="shared" si="3"/>
        <v>0</v>
      </c>
      <c r="O224" s="58"/>
      <c r="P224" s="55"/>
      <c r="Q224" s="61" t="s">
        <v>557</v>
      </c>
      <c r="R224" s="50">
        <v>793.52</v>
      </c>
      <c r="S224" s="51">
        <f>IF(OR($H224="",$I224="",$R224=""),"",$R224*Precios!$B$5+$H224*Precios!$B$6+$I224*Precios!$B$7)</f>
        <v>334960.2</v>
      </c>
      <c r="T224" s="52">
        <f>Precios_v2!L235</f>
        <v>348000</v>
      </c>
    </row>
    <row r="225" spans="1:20" ht="15.75" customHeight="1" x14ac:dyDescent="0.25">
      <c r="A225" s="60" t="s">
        <v>558</v>
      </c>
      <c r="B225" s="54" t="s">
        <v>87</v>
      </c>
      <c r="C225" s="55" t="s">
        <v>361</v>
      </c>
      <c r="D225" s="55">
        <v>2</v>
      </c>
      <c r="E225" s="55" t="s">
        <v>70</v>
      </c>
      <c r="F225" s="56">
        <f>IFERROR(VLOOKUP($B225,Tipologias!$A$4:$V$8,5,0),"")</f>
        <v>3</v>
      </c>
      <c r="G225" s="56">
        <f>IFERROR(VLOOKUP($B225,Tipologias!$A$4:$V$8,6,0),"")</f>
        <v>3</v>
      </c>
      <c r="H225" s="57">
        <f>IFERROR(VLOOKUP($B225,Tipologias!$A$4:$V$8,9,0),"")</f>
        <v>130.04400000000001</v>
      </c>
      <c r="I225" s="57">
        <f>IFERROR(VLOOKUP($B225,Tipologias!$A$4:$V$8,10,0),"")</f>
        <v>91.53</v>
      </c>
      <c r="J225" s="57">
        <f>IFERROR(VLOOKUP($B225,Tipologias!$A$4:$V$8,16,0),"")</f>
        <v>238.62400000000002</v>
      </c>
      <c r="K225" s="55" t="s">
        <v>114</v>
      </c>
      <c r="L225" s="55"/>
      <c r="M225" s="58">
        <f>IFERROR(VLOOKUP($B225,Tipologias!$A$4:$V$8,19,0),"")</f>
        <v>0</v>
      </c>
      <c r="N225" s="58">
        <f t="shared" si="3"/>
        <v>0</v>
      </c>
      <c r="O225" s="58"/>
      <c r="P225" s="55"/>
      <c r="Q225" s="61" t="s">
        <v>559</v>
      </c>
      <c r="R225" s="50">
        <v>936.99</v>
      </c>
      <c r="S225" s="51">
        <f>IF(OR($H225="",$I225="",$R225=""),"",$R225*Precios!$B$5+$H225*Precios!$B$6+$I225*Precios!$B$7)</f>
        <v>339264.30000000005</v>
      </c>
      <c r="T225" s="52">
        <f>Precios_v2!L236</f>
        <v>333000</v>
      </c>
    </row>
    <row r="226" spans="1:20" ht="15.75" customHeight="1" x14ac:dyDescent="0.25">
      <c r="A226" s="60" t="s">
        <v>560</v>
      </c>
      <c r="B226" s="54" t="s">
        <v>87</v>
      </c>
      <c r="C226" s="55" t="s">
        <v>361</v>
      </c>
      <c r="D226" s="55">
        <v>2</v>
      </c>
      <c r="E226" s="55" t="s">
        <v>70</v>
      </c>
      <c r="F226" s="56">
        <f>IFERROR(VLOOKUP($B226,Tipologias!$A$4:$V$8,5,0),"")</f>
        <v>3</v>
      </c>
      <c r="G226" s="56">
        <f>IFERROR(VLOOKUP($B226,Tipologias!$A$4:$V$8,6,0),"")</f>
        <v>3</v>
      </c>
      <c r="H226" s="57">
        <f>IFERROR(VLOOKUP($B226,Tipologias!$A$4:$V$8,9,0),"")</f>
        <v>130.04400000000001</v>
      </c>
      <c r="I226" s="57">
        <f>IFERROR(VLOOKUP($B226,Tipologias!$A$4:$V$8,10,0),"")</f>
        <v>91.53</v>
      </c>
      <c r="J226" s="57">
        <f>IFERROR(VLOOKUP($B226,Tipologias!$A$4:$V$8,16,0),"")</f>
        <v>238.62400000000002</v>
      </c>
      <c r="K226" s="55" t="s">
        <v>114</v>
      </c>
      <c r="L226" s="55"/>
      <c r="M226" s="58">
        <f>IFERROR(VLOOKUP($B226,Tipologias!$A$4:$V$8,19,0),"")</f>
        <v>0</v>
      </c>
      <c r="N226" s="58">
        <f t="shared" si="3"/>
        <v>0</v>
      </c>
      <c r="O226" s="58"/>
      <c r="P226" s="55"/>
      <c r="Q226" s="61" t="s">
        <v>561</v>
      </c>
      <c r="R226" s="50">
        <v>865.64</v>
      </c>
      <c r="S226" s="51">
        <f>IF(OR($H226="",$I226="",$R226=""),"",$R226*Precios!$B$5+$H226*Precios!$B$6+$I226*Precios!$B$7)</f>
        <v>337123.80000000005</v>
      </c>
      <c r="T226" s="52">
        <f>Precios_v2!L237</f>
        <v>345000</v>
      </c>
    </row>
    <row r="227" spans="1:20" ht="15.75" customHeight="1" x14ac:dyDescent="0.25">
      <c r="A227" s="60" t="s">
        <v>562</v>
      </c>
      <c r="B227" s="54" t="s">
        <v>87</v>
      </c>
      <c r="C227" s="55" t="s">
        <v>361</v>
      </c>
      <c r="D227" s="55">
        <v>2</v>
      </c>
      <c r="E227" s="55" t="s">
        <v>70</v>
      </c>
      <c r="F227" s="56">
        <f>IFERROR(VLOOKUP($B227,Tipologias!$A$4:$V$8,5,0),"")</f>
        <v>3</v>
      </c>
      <c r="G227" s="56">
        <f>IFERROR(VLOOKUP($B227,Tipologias!$A$4:$V$8,6,0),"")</f>
        <v>3</v>
      </c>
      <c r="H227" s="57">
        <f>IFERROR(VLOOKUP($B227,Tipologias!$A$4:$V$8,9,0),"")</f>
        <v>130.04400000000001</v>
      </c>
      <c r="I227" s="57">
        <f>IFERROR(VLOOKUP($B227,Tipologias!$A$4:$V$8,10,0),"")</f>
        <v>91.53</v>
      </c>
      <c r="J227" s="57">
        <f>IFERROR(VLOOKUP($B227,Tipologias!$A$4:$V$8,16,0),"")</f>
        <v>238.62400000000002</v>
      </c>
      <c r="K227" s="55" t="s">
        <v>114</v>
      </c>
      <c r="L227" s="55"/>
      <c r="M227" s="58">
        <f>IFERROR(VLOOKUP($B227,Tipologias!$A$4:$V$8,19,0),"")</f>
        <v>0</v>
      </c>
      <c r="N227" s="58">
        <f t="shared" si="3"/>
        <v>0</v>
      </c>
      <c r="O227" s="58"/>
      <c r="P227" s="55"/>
      <c r="Q227" s="61" t="s">
        <v>563</v>
      </c>
      <c r="R227" s="50">
        <v>684.97</v>
      </c>
      <c r="S227" s="51">
        <f>IF(OR($H227="",$I227="",$R227=""),"",$R227*Precios!$B$5+$H227*Precios!$B$6+$I227*Precios!$B$7)</f>
        <v>331703.7</v>
      </c>
      <c r="T227" s="52">
        <f>Precios_v2!L238</f>
        <v>320000</v>
      </c>
    </row>
    <row r="228" spans="1:20" ht="15.75" customHeight="1" x14ac:dyDescent="0.25">
      <c r="A228" s="60" t="s">
        <v>564</v>
      </c>
      <c r="B228" s="54" t="s">
        <v>87</v>
      </c>
      <c r="C228" s="55" t="s">
        <v>361</v>
      </c>
      <c r="D228" s="55">
        <v>2</v>
      </c>
      <c r="E228" s="55" t="s">
        <v>70</v>
      </c>
      <c r="F228" s="56">
        <f>IFERROR(VLOOKUP($B228,Tipologias!$A$4:$V$8,5,0),"")</f>
        <v>3</v>
      </c>
      <c r="G228" s="56">
        <f>IFERROR(VLOOKUP($B228,Tipologias!$A$4:$V$8,6,0),"")</f>
        <v>3</v>
      </c>
      <c r="H228" s="57">
        <f>IFERROR(VLOOKUP($B228,Tipologias!$A$4:$V$8,9,0),"")</f>
        <v>130.04400000000001</v>
      </c>
      <c r="I228" s="57">
        <f>IFERROR(VLOOKUP($B228,Tipologias!$A$4:$V$8,10,0),"")</f>
        <v>91.53</v>
      </c>
      <c r="J228" s="57">
        <f>IFERROR(VLOOKUP($B228,Tipologias!$A$4:$V$8,16,0),"")</f>
        <v>238.62400000000002</v>
      </c>
      <c r="K228" s="55" t="s">
        <v>114</v>
      </c>
      <c r="L228" s="55"/>
      <c r="M228" s="58">
        <f>IFERROR(VLOOKUP($B228,Tipologias!$A$4:$V$8,19,0),"")</f>
        <v>0</v>
      </c>
      <c r="N228" s="58">
        <f t="shared" si="3"/>
        <v>0</v>
      </c>
      <c r="O228" s="58"/>
      <c r="P228" s="55"/>
      <c r="Q228" s="61" t="s">
        <v>565</v>
      </c>
      <c r="R228" s="50">
        <v>680.29</v>
      </c>
      <c r="S228" s="51">
        <f>IF(OR($H228="",$I228="",$R228=""),"",$R228*Precios!$B$5+$H228*Precios!$B$6+$I228*Precios!$B$7)</f>
        <v>331563.30000000005</v>
      </c>
      <c r="T228" s="52">
        <f>Precios_v2!L239</f>
        <v>337000</v>
      </c>
    </row>
    <row r="229" spans="1:20" ht="15.75" customHeight="1" x14ac:dyDescent="0.25">
      <c r="A229" s="60" t="s">
        <v>566</v>
      </c>
      <c r="B229" s="54" t="s">
        <v>87</v>
      </c>
      <c r="C229" s="55" t="s">
        <v>361</v>
      </c>
      <c r="D229" s="55">
        <v>2</v>
      </c>
      <c r="E229" s="55" t="s">
        <v>70</v>
      </c>
      <c r="F229" s="56">
        <f>IFERROR(VLOOKUP($B229,Tipologias!$A$4:$V$8,5,0),"")</f>
        <v>3</v>
      </c>
      <c r="G229" s="56">
        <f>IFERROR(VLOOKUP($B229,Tipologias!$A$4:$V$8,6,0),"")</f>
        <v>3</v>
      </c>
      <c r="H229" s="57">
        <f>IFERROR(VLOOKUP($B229,Tipologias!$A$4:$V$8,9,0),"")</f>
        <v>130.04400000000001</v>
      </c>
      <c r="I229" s="57">
        <f>IFERROR(VLOOKUP($B229,Tipologias!$A$4:$V$8,10,0),"")</f>
        <v>91.53</v>
      </c>
      <c r="J229" s="57">
        <f>IFERROR(VLOOKUP($B229,Tipologias!$A$4:$V$8,16,0),"")</f>
        <v>238.62400000000002</v>
      </c>
      <c r="K229" s="55" t="s">
        <v>114</v>
      </c>
      <c r="L229" s="55"/>
      <c r="M229" s="58">
        <f>IFERROR(VLOOKUP($B229,Tipologias!$A$4:$V$8,19,0),"")</f>
        <v>0</v>
      </c>
      <c r="N229" s="58">
        <f t="shared" si="3"/>
        <v>0</v>
      </c>
      <c r="O229" s="58"/>
      <c r="P229" s="55"/>
      <c r="Q229" s="61" t="s">
        <v>567</v>
      </c>
      <c r="R229" s="50">
        <v>611.85</v>
      </c>
      <c r="S229" s="51">
        <f>IF(OR($H229="",$I229="",$R229=""),"",$R229*Precios!$B$5+$H229*Precios!$B$6+$I229*Precios!$B$7)</f>
        <v>329510.10000000003</v>
      </c>
      <c r="T229" s="52">
        <f>Precios_v2!L240</f>
        <v>336000</v>
      </c>
    </row>
    <row r="230" spans="1:20" ht="15.75" customHeight="1" x14ac:dyDescent="0.25">
      <c r="A230" s="60" t="s">
        <v>568</v>
      </c>
      <c r="B230" s="54" t="s">
        <v>87</v>
      </c>
      <c r="C230" s="55" t="s">
        <v>361</v>
      </c>
      <c r="D230" s="55">
        <v>2</v>
      </c>
      <c r="E230" s="55" t="s">
        <v>70</v>
      </c>
      <c r="F230" s="56">
        <f>IFERROR(VLOOKUP($B230,Tipologias!$A$4:$V$8,5,0),"")</f>
        <v>3</v>
      </c>
      <c r="G230" s="56">
        <f>IFERROR(VLOOKUP($B230,Tipologias!$A$4:$V$8,6,0),"")</f>
        <v>3</v>
      </c>
      <c r="H230" s="57">
        <f>IFERROR(VLOOKUP($B230,Tipologias!$A$4:$V$8,9,0),"")</f>
        <v>130.04400000000001</v>
      </c>
      <c r="I230" s="57">
        <f>IFERROR(VLOOKUP($B230,Tipologias!$A$4:$V$8,10,0),"")</f>
        <v>91.53</v>
      </c>
      <c r="J230" s="57">
        <f>IFERROR(VLOOKUP($B230,Tipologias!$A$4:$V$8,16,0),"")</f>
        <v>238.62400000000002</v>
      </c>
      <c r="K230" s="55" t="s">
        <v>114</v>
      </c>
      <c r="L230" s="55"/>
      <c r="M230" s="58">
        <f>IFERROR(VLOOKUP($B230,Tipologias!$A$4:$V$8,19,0),"")</f>
        <v>0</v>
      </c>
      <c r="N230" s="58">
        <f t="shared" si="3"/>
        <v>0</v>
      </c>
      <c r="O230" s="58"/>
      <c r="P230" s="55"/>
      <c r="Q230" s="61" t="s">
        <v>569</v>
      </c>
      <c r="R230" s="50">
        <v>670.33</v>
      </c>
      <c r="S230" s="51">
        <f>IF(OR($H230="",$I230="",$R230=""),"",$R230*Precios!$B$5+$H230*Precios!$B$6+$I230*Precios!$B$7)</f>
        <v>331264.50000000006</v>
      </c>
      <c r="T230" s="52">
        <f>Precios_v2!L241</f>
        <v>336000</v>
      </c>
    </row>
    <row r="231" spans="1:20" ht="15.75" customHeight="1" x14ac:dyDescent="0.25">
      <c r="A231" s="60" t="s">
        <v>570</v>
      </c>
      <c r="B231" s="54" t="s">
        <v>87</v>
      </c>
      <c r="C231" s="55" t="s">
        <v>361</v>
      </c>
      <c r="D231" s="55">
        <v>2</v>
      </c>
      <c r="E231" s="55" t="s">
        <v>70</v>
      </c>
      <c r="F231" s="56">
        <f>IFERROR(VLOOKUP($B231,Tipologias!$A$4:$V$8,5,0),"")</f>
        <v>3</v>
      </c>
      <c r="G231" s="56">
        <f>IFERROR(VLOOKUP($B231,Tipologias!$A$4:$V$8,6,0),"")</f>
        <v>3</v>
      </c>
      <c r="H231" s="57">
        <f>IFERROR(VLOOKUP($B231,Tipologias!$A$4:$V$8,9,0),"")</f>
        <v>130.04400000000001</v>
      </c>
      <c r="I231" s="57">
        <f>IFERROR(VLOOKUP($B231,Tipologias!$A$4:$V$8,10,0),"")</f>
        <v>91.53</v>
      </c>
      <c r="J231" s="57">
        <f>IFERROR(VLOOKUP($B231,Tipologias!$A$4:$V$8,16,0),"")</f>
        <v>238.62400000000002</v>
      </c>
      <c r="K231" s="55" t="s">
        <v>114</v>
      </c>
      <c r="L231" s="55"/>
      <c r="M231" s="58">
        <f>IFERROR(VLOOKUP($B231,Tipologias!$A$4:$V$8,19,0),"")</f>
        <v>0</v>
      </c>
      <c r="N231" s="58">
        <f t="shared" si="3"/>
        <v>0</v>
      </c>
      <c r="O231" s="58"/>
      <c r="P231" s="55"/>
      <c r="Q231" s="61" t="s">
        <v>571</v>
      </c>
      <c r="R231" s="50">
        <v>658.73</v>
      </c>
      <c r="S231" s="51">
        <f>IF(OR($H231="",$I231="",$R231=""),"",$R231*Precios!$B$5+$H231*Precios!$B$6+$I231*Precios!$B$7)</f>
        <v>330916.50000000006</v>
      </c>
      <c r="T231" s="52">
        <f>Precios_v2!L242</f>
        <v>336000</v>
      </c>
    </row>
    <row r="232" spans="1:20" ht="15.75" customHeight="1" x14ac:dyDescent="0.25">
      <c r="A232" s="60" t="s">
        <v>572</v>
      </c>
      <c r="B232" s="54" t="s">
        <v>87</v>
      </c>
      <c r="C232" s="55" t="s">
        <v>361</v>
      </c>
      <c r="D232" s="55">
        <v>2</v>
      </c>
      <c r="E232" s="55" t="s">
        <v>70</v>
      </c>
      <c r="F232" s="56">
        <f>IFERROR(VLOOKUP($B232,Tipologias!$A$4:$V$8,5,0),"")</f>
        <v>3</v>
      </c>
      <c r="G232" s="56">
        <f>IFERROR(VLOOKUP($B232,Tipologias!$A$4:$V$8,6,0),"")</f>
        <v>3</v>
      </c>
      <c r="H232" s="57">
        <f>IFERROR(VLOOKUP($B232,Tipologias!$A$4:$V$8,9,0),"")</f>
        <v>130.04400000000001</v>
      </c>
      <c r="I232" s="57">
        <f>IFERROR(VLOOKUP($B232,Tipologias!$A$4:$V$8,10,0),"")</f>
        <v>91.53</v>
      </c>
      <c r="J232" s="57">
        <f>IFERROR(VLOOKUP($B232,Tipologias!$A$4:$V$8,16,0),"")</f>
        <v>238.62400000000002</v>
      </c>
      <c r="K232" s="55" t="s">
        <v>114</v>
      </c>
      <c r="L232" s="55"/>
      <c r="M232" s="58">
        <f>IFERROR(VLOOKUP($B232,Tipologias!$A$4:$V$8,19,0),"")</f>
        <v>0</v>
      </c>
      <c r="N232" s="58">
        <f t="shared" si="3"/>
        <v>0</v>
      </c>
      <c r="O232" s="58"/>
      <c r="P232" s="55"/>
      <c r="Q232" s="61" t="s">
        <v>573</v>
      </c>
      <c r="R232" s="50">
        <v>700.16</v>
      </c>
      <c r="S232" s="51">
        <f>IF(OR($H232="",$I232="",$R232=""),"",$R232*Precios!$B$5+$H232*Precios!$B$6+$I232*Precios!$B$7)</f>
        <v>332159.40000000002</v>
      </c>
      <c r="T232" s="52">
        <f>Precios_v2!L243</f>
        <v>330000</v>
      </c>
    </row>
    <row r="233" spans="1:20" ht="15.75" customHeight="1" x14ac:dyDescent="0.25">
      <c r="A233" s="60" t="s">
        <v>574</v>
      </c>
      <c r="B233" s="54" t="s">
        <v>87</v>
      </c>
      <c r="C233" s="55" t="s">
        <v>361</v>
      </c>
      <c r="D233" s="55">
        <v>2</v>
      </c>
      <c r="E233" s="55" t="s">
        <v>70</v>
      </c>
      <c r="F233" s="56">
        <f>IFERROR(VLOOKUP($B233,Tipologias!$A$4:$V$8,5,0),"")</f>
        <v>3</v>
      </c>
      <c r="G233" s="56">
        <f>IFERROR(VLOOKUP($B233,Tipologias!$A$4:$V$8,6,0),"")</f>
        <v>3</v>
      </c>
      <c r="H233" s="57">
        <f>IFERROR(VLOOKUP($B233,Tipologias!$A$4:$V$8,9,0),"")</f>
        <v>130.04400000000001</v>
      </c>
      <c r="I233" s="57">
        <f>IFERROR(VLOOKUP($B233,Tipologias!$A$4:$V$8,10,0),"")</f>
        <v>91.53</v>
      </c>
      <c r="J233" s="57">
        <f>IFERROR(VLOOKUP($B233,Tipologias!$A$4:$V$8,16,0),"")</f>
        <v>238.62400000000002</v>
      </c>
      <c r="K233" s="55" t="s">
        <v>114</v>
      </c>
      <c r="L233" s="55"/>
      <c r="M233" s="58">
        <f>IFERROR(VLOOKUP($B233,Tipologias!$A$4:$V$8,19,0),"")</f>
        <v>0</v>
      </c>
      <c r="N233" s="58">
        <f t="shared" si="3"/>
        <v>0</v>
      </c>
      <c r="O233" s="58"/>
      <c r="P233" s="55"/>
      <c r="Q233" s="61" t="s">
        <v>575</v>
      </c>
      <c r="R233" s="50">
        <v>643.6</v>
      </c>
      <c r="S233" s="51">
        <f>IF(OR($H233="",$I233="",$R233=""),"",$R233*Precios!$B$5+$H233*Precios!$B$6+$I233*Precios!$B$7)</f>
        <v>330462.60000000003</v>
      </c>
      <c r="T233" s="52">
        <f>Precios_v2!L244</f>
        <v>353000</v>
      </c>
    </row>
    <row r="234" spans="1:20" ht="15.75" customHeight="1" x14ac:dyDescent="0.25">
      <c r="A234" s="60" t="s">
        <v>576</v>
      </c>
      <c r="B234" s="54" t="s">
        <v>87</v>
      </c>
      <c r="C234" s="55" t="s">
        <v>361</v>
      </c>
      <c r="D234" s="55">
        <v>2</v>
      </c>
      <c r="E234" s="55" t="s">
        <v>70</v>
      </c>
      <c r="F234" s="56">
        <f>IFERROR(VLOOKUP($B234,Tipologias!$A$4:$V$8,5,0),"")</f>
        <v>3</v>
      </c>
      <c r="G234" s="56">
        <f>IFERROR(VLOOKUP($B234,Tipologias!$A$4:$V$8,6,0),"")</f>
        <v>3</v>
      </c>
      <c r="H234" s="57">
        <f>IFERROR(VLOOKUP($B234,Tipologias!$A$4:$V$8,9,0),"")</f>
        <v>130.04400000000001</v>
      </c>
      <c r="I234" s="57">
        <f>IFERROR(VLOOKUP($B234,Tipologias!$A$4:$V$8,10,0),"")</f>
        <v>91.53</v>
      </c>
      <c r="J234" s="57">
        <f>IFERROR(VLOOKUP($B234,Tipologias!$A$4:$V$8,16,0),"")</f>
        <v>238.62400000000002</v>
      </c>
      <c r="K234" s="55" t="s">
        <v>114</v>
      </c>
      <c r="L234" s="55"/>
      <c r="M234" s="58">
        <f>IFERROR(VLOOKUP($B234,Tipologias!$A$4:$V$8,19,0),"")</f>
        <v>0</v>
      </c>
      <c r="N234" s="58">
        <f t="shared" si="3"/>
        <v>0</v>
      </c>
      <c r="O234" s="58"/>
      <c r="P234" s="55"/>
      <c r="Q234" s="61" t="s">
        <v>577</v>
      </c>
      <c r="R234" s="50">
        <v>644.4</v>
      </c>
      <c r="S234" s="51">
        <f>IF(OR($H234="",$I234="",$R234=""),"",$R234*Precios!$B$5+$H234*Precios!$B$6+$I234*Precios!$B$7)</f>
        <v>330486.60000000003</v>
      </c>
      <c r="T234" s="52">
        <f>Precios_v2!L245</f>
        <v>336000</v>
      </c>
    </row>
    <row r="235" spans="1:20" ht="15.75" customHeight="1" x14ac:dyDescent="0.25">
      <c r="A235" s="60" t="s">
        <v>578</v>
      </c>
      <c r="B235" s="54" t="s">
        <v>87</v>
      </c>
      <c r="C235" s="55" t="s">
        <v>361</v>
      </c>
      <c r="D235" s="55">
        <v>2</v>
      </c>
      <c r="E235" s="55" t="s">
        <v>70</v>
      </c>
      <c r="F235" s="56">
        <f>IFERROR(VLOOKUP($B235,Tipologias!$A$4:$V$8,5,0),"")</f>
        <v>3</v>
      </c>
      <c r="G235" s="56">
        <f>IFERROR(VLOOKUP($B235,Tipologias!$A$4:$V$8,6,0),"")</f>
        <v>3</v>
      </c>
      <c r="H235" s="57">
        <f>IFERROR(VLOOKUP($B235,Tipologias!$A$4:$V$8,9,0),"")</f>
        <v>130.04400000000001</v>
      </c>
      <c r="I235" s="57">
        <f>IFERROR(VLOOKUP($B235,Tipologias!$A$4:$V$8,10,0),"")</f>
        <v>91.53</v>
      </c>
      <c r="J235" s="57">
        <f>IFERROR(VLOOKUP($B235,Tipologias!$A$4:$V$8,16,0),"")</f>
        <v>238.62400000000002</v>
      </c>
      <c r="K235" s="55" t="s">
        <v>114</v>
      </c>
      <c r="L235" s="55"/>
      <c r="M235" s="58">
        <f>IFERROR(VLOOKUP($B235,Tipologias!$A$4:$V$8,19,0),"")</f>
        <v>0</v>
      </c>
      <c r="N235" s="58">
        <f t="shared" si="3"/>
        <v>0</v>
      </c>
      <c r="O235" s="58"/>
      <c r="P235" s="55"/>
      <c r="Q235" s="61" t="s">
        <v>579</v>
      </c>
      <c r="R235" s="50">
        <v>656.97</v>
      </c>
      <c r="S235" s="51">
        <f>IF(OR($H235="",$I235="",$R235=""),"",$R235*Precios!$B$5+$H235*Precios!$B$6+$I235*Precios!$B$7)</f>
        <v>330863.7</v>
      </c>
      <c r="T235" s="52">
        <f>Precios_v2!L246</f>
        <v>346000</v>
      </c>
    </row>
    <row r="236" spans="1:20" ht="15.75" customHeight="1" x14ac:dyDescent="0.25"/>
    <row r="237" spans="1:20" ht="15.75" customHeight="1" x14ac:dyDescent="0.25"/>
    <row r="238" spans="1:20" ht="15.75" customHeight="1" x14ac:dyDescent="0.25"/>
    <row r="239" spans="1:20" ht="15.75" customHeight="1" x14ac:dyDescent="0.25"/>
    <row r="240" spans="1:2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sheetData>
  <mergeCells count="1">
    <mergeCell ref="A1:Q1"/>
  </mergeCells>
  <dataValidations count="2">
    <dataValidation type="list" allowBlank="1" sqref="L3:L235" xr:uid="{00000000-0002-0000-0200-000001000000}">
      <formula1>"Lista 0,Lista 1,Lista 2"</formula1>
      <formula2>0</formula2>
    </dataValidation>
    <dataValidation type="list" allowBlank="1" sqref="K3:K235" xr:uid="{00000000-0002-0000-0200-000002000000}">
      <formula1>"Disponible,Reservado,Vendido,No disponible"</formula1>
      <formula2>0</formula2>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200-000000000000}">
          <x14:formula1>
            <xm:f>Tipologias!$A$4:$A$8</xm:f>
          </x14:formula1>
          <x14:formula2>
            <xm:f>0</xm:f>
          </x14:formula2>
          <xm:sqref>B3:B235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D7D31"/>
  </sheetPr>
  <dimension ref="A1:P243"/>
  <sheetViews>
    <sheetView zoomScaleNormal="100" workbookViewId="0">
      <pane ySplit="10" topLeftCell="A223" activePane="bottomLeft" state="frozen"/>
      <selection pane="bottomLeft" activeCell="E10" sqref="E10:E243"/>
    </sheetView>
  </sheetViews>
  <sheetFormatPr baseColWidth="10" defaultColWidth="8.7109375" defaultRowHeight="15" x14ac:dyDescent="0.25"/>
  <cols>
    <col min="1" max="1" width="14" customWidth="1"/>
    <col min="2" max="2" width="10" customWidth="1"/>
    <col min="3" max="3" width="9" customWidth="1"/>
    <col min="4" max="5" width="11" customWidth="1"/>
    <col min="6" max="6" width="13" customWidth="1"/>
    <col min="7" max="7" width="11" customWidth="1"/>
    <col min="8" max="8" width="12" customWidth="1"/>
    <col min="9" max="10" width="11" customWidth="1"/>
    <col min="11" max="11" width="10" customWidth="1"/>
    <col min="12" max="12" width="20" customWidth="1"/>
    <col min="13" max="13" width="11" customWidth="1"/>
    <col min="14" max="14" width="10" customWidth="1"/>
    <col min="15" max="15" width="3" customWidth="1"/>
    <col min="16" max="16" width="60" customWidth="1"/>
  </cols>
  <sheetData>
    <row r="1" spans="1:16" ht="18" x14ac:dyDescent="0.25">
      <c r="A1" s="62" t="s">
        <v>608</v>
      </c>
    </row>
    <row r="2" spans="1:16" ht="42" customHeight="1" x14ac:dyDescent="0.25">
      <c r="A2" s="126" t="s">
        <v>609</v>
      </c>
      <c r="B2" s="126"/>
      <c r="C2" s="126"/>
      <c r="D2" s="126"/>
      <c r="E2" s="126"/>
      <c r="F2" s="126"/>
      <c r="G2" s="126"/>
      <c r="H2" s="126"/>
      <c r="I2" s="126"/>
      <c r="J2" s="126"/>
      <c r="K2" s="126"/>
      <c r="L2" s="126"/>
      <c r="M2" s="126"/>
      <c r="N2" s="126"/>
      <c r="O2" s="126"/>
      <c r="P2" s="126"/>
    </row>
    <row r="4" spans="1:16" ht="38.25" x14ac:dyDescent="0.25">
      <c r="A4" s="67" t="s">
        <v>50</v>
      </c>
      <c r="B4" s="67" t="s">
        <v>610</v>
      </c>
      <c r="D4" s="67" t="s">
        <v>611</v>
      </c>
      <c r="E4" s="67" t="s">
        <v>610</v>
      </c>
      <c r="G4" s="67" t="s">
        <v>612</v>
      </c>
      <c r="H4" s="67" t="s">
        <v>610</v>
      </c>
      <c r="J4" s="67" t="s">
        <v>613</v>
      </c>
      <c r="K4" s="67" t="s">
        <v>610</v>
      </c>
      <c r="M4" s="67" t="s">
        <v>614</v>
      </c>
      <c r="N4" s="67" t="s">
        <v>610</v>
      </c>
      <c r="P4" s="63" t="s">
        <v>615</v>
      </c>
    </row>
    <row r="5" spans="1:16" x14ac:dyDescent="0.25">
      <c r="A5" s="69" t="s">
        <v>616</v>
      </c>
      <c r="B5" s="90">
        <v>0.08</v>
      </c>
      <c r="D5" s="69" t="s">
        <v>617</v>
      </c>
      <c r="E5" s="90">
        <v>0.02</v>
      </c>
      <c r="G5" s="69" t="s">
        <v>618</v>
      </c>
      <c r="H5" s="90">
        <v>0</v>
      </c>
      <c r="J5" s="69" t="s">
        <v>619</v>
      </c>
      <c r="K5" s="90">
        <v>0.02</v>
      </c>
      <c r="M5" s="69" t="s">
        <v>620</v>
      </c>
      <c r="N5" s="90">
        <v>0.02</v>
      </c>
      <c r="P5" s="85" t="s">
        <v>621</v>
      </c>
    </row>
    <row r="6" spans="1:16" x14ac:dyDescent="0.25">
      <c r="A6" s="69" t="s">
        <v>622</v>
      </c>
      <c r="B6" s="90">
        <v>0.03</v>
      </c>
      <c r="D6" s="69" t="s">
        <v>623</v>
      </c>
      <c r="E6" s="90">
        <v>0</v>
      </c>
      <c r="G6" s="69" t="s">
        <v>624</v>
      </c>
      <c r="H6" s="90">
        <v>-0.01</v>
      </c>
      <c r="J6" s="69" t="s">
        <v>624</v>
      </c>
      <c r="K6" s="90">
        <v>0</v>
      </c>
      <c r="M6" s="69" t="s">
        <v>625</v>
      </c>
      <c r="N6" s="90">
        <v>0</v>
      </c>
      <c r="P6" s="85" t="s">
        <v>626</v>
      </c>
    </row>
    <row r="7" spans="1:16" x14ac:dyDescent="0.25">
      <c r="A7" s="69" t="s">
        <v>627</v>
      </c>
      <c r="B7" s="90">
        <v>0</v>
      </c>
      <c r="D7" s="69" t="s">
        <v>628</v>
      </c>
      <c r="E7" s="90">
        <v>-0.02</v>
      </c>
      <c r="G7" s="69" t="s">
        <v>629</v>
      </c>
      <c r="H7" s="90">
        <v>-0.03</v>
      </c>
      <c r="J7" s="69" t="s">
        <v>630</v>
      </c>
      <c r="K7" s="90">
        <v>-0.01</v>
      </c>
      <c r="M7" s="69" t="s">
        <v>631</v>
      </c>
      <c r="N7" s="90">
        <v>-0.01</v>
      </c>
      <c r="P7" s="85" t="s">
        <v>632</v>
      </c>
    </row>
    <row r="8" spans="1:16" x14ac:dyDescent="0.25">
      <c r="P8" s="85" t="s">
        <v>633</v>
      </c>
    </row>
    <row r="9" spans="1:16" x14ac:dyDescent="0.25">
      <c r="A9" s="91" t="s">
        <v>634</v>
      </c>
      <c r="P9" s="85" t="s">
        <v>635</v>
      </c>
    </row>
    <row r="10" spans="1:16" ht="31.5" customHeight="1" x14ac:dyDescent="0.25">
      <c r="A10" s="67" t="s">
        <v>96</v>
      </c>
      <c r="B10" s="67" t="s">
        <v>97</v>
      </c>
      <c r="C10" s="67" t="s">
        <v>98</v>
      </c>
      <c r="D10" s="67" t="s">
        <v>109</v>
      </c>
      <c r="E10" s="67" t="s">
        <v>50</v>
      </c>
      <c r="F10" s="67" t="s">
        <v>611</v>
      </c>
      <c r="G10" s="67" t="s">
        <v>612</v>
      </c>
      <c r="H10" s="67" t="s">
        <v>636</v>
      </c>
      <c r="I10" s="67" t="s">
        <v>614</v>
      </c>
      <c r="J10" s="73" t="s">
        <v>637</v>
      </c>
      <c r="K10" s="67" t="s">
        <v>638</v>
      </c>
      <c r="L10" s="67" t="s">
        <v>108</v>
      </c>
    </row>
    <row r="11" spans="1:16" x14ac:dyDescent="0.25">
      <c r="A11" s="92" t="str">
        <f>Unidades!A3</f>
        <v>A-001</v>
      </c>
      <c r="B11" s="93" t="str">
        <f>Unidades!B3</f>
        <v>T1</v>
      </c>
      <c r="C11" s="93" t="str">
        <f>Unidades!C3</f>
        <v>Fase 4</v>
      </c>
      <c r="D11" s="76">
        <f>Unidades!R3</f>
        <v>1004.58</v>
      </c>
      <c r="E11" s="94" t="s">
        <v>616</v>
      </c>
      <c r="F11" s="94" t="s">
        <v>623</v>
      </c>
      <c r="G11" s="94" t="s">
        <v>624</v>
      </c>
      <c r="H11" s="94" t="s">
        <v>630</v>
      </c>
      <c r="I11" s="94" t="s">
        <v>620</v>
      </c>
      <c r="J11" s="95">
        <f t="shared" ref="J11:J74" si="0">IFERROR(VLOOKUP(E11,$A$5:$B$7,2,0),0)+IFERROR(VLOOKUP(F11,$D$5:$E$7,2,0),0)+IFERROR(VLOOKUP(G11,$G$5:$H$7,2,0),0)+IFERROR(VLOOKUP(H11,$J$5:$K$7,2,0),0)+IFERROR(VLOOKUP(I11,$M$5:$N$7,2,0),0)</f>
        <v>0.08</v>
      </c>
      <c r="K11" s="96" t="s">
        <v>639</v>
      </c>
      <c r="L11" s="69"/>
    </row>
    <row r="12" spans="1:16" x14ac:dyDescent="0.25">
      <c r="A12" s="92" t="str">
        <f>Unidades!A4</f>
        <v>A-002</v>
      </c>
      <c r="B12" s="93" t="str">
        <f>Unidades!B4</f>
        <v>T1</v>
      </c>
      <c r="C12" s="93" t="str">
        <f>Unidades!C4</f>
        <v>Fase 4</v>
      </c>
      <c r="D12" s="76">
        <f>Unidades!R4</f>
        <v>1067.4000000000001</v>
      </c>
      <c r="E12" s="94" t="s">
        <v>616</v>
      </c>
      <c r="F12" s="94" t="s">
        <v>623</v>
      </c>
      <c r="G12" s="94" t="s">
        <v>624</v>
      </c>
      <c r="H12" s="94" t="s">
        <v>630</v>
      </c>
      <c r="I12" s="94" t="s">
        <v>625</v>
      </c>
      <c r="J12" s="95">
        <f t="shared" si="0"/>
        <v>6.0000000000000005E-2</v>
      </c>
      <c r="K12" s="96" t="s">
        <v>639</v>
      </c>
      <c r="L12" s="69"/>
    </row>
    <row r="13" spans="1:16" x14ac:dyDescent="0.25">
      <c r="A13" s="92" t="str">
        <f>Unidades!A5</f>
        <v>A-003</v>
      </c>
      <c r="B13" s="93" t="str">
        <f>Unidades!B5</f>
        <v>T1</v>
      </c>
      <c r="C13" s="93" t="str">
        <f>Unidades!C5</f>
        <v>Fase 4</v>
      </c>
      <c r="D13" s="76">
        <f>Unidades!R5</f>
        <v>772.2</v>
      </c>
      <c r="E13" s="94" t="s">
        <v>627</v>
      </c>
      <c r="F13" s="94" t="s">
        <v>623</v>
      </c>
      <c r="G13" s="94" t="s">
        <v>624</v>
      </c>
      <c r="H13" s="94" t="s">
        <v>624</v>
      </c>
      <c r="I13" s="94" t="s">
        <v>625</v>
      </c>
      <c r="J13" s="95">
        <f t="shared" si="0"/>
        <v>-0.01</v>
      </c>
      <c r="K13" s="96" t="s">
        <v>639</v>
      </c>
      <c r="L13" s="69"/>
    </row>
    <row r="14" spans="1:16" x14ac:dyDescent="0.25">
      <c r="A14" s="92" t="str">
        <f>Unidades!A6</f>
        <v>A-004</v>
      </c>
      <c r="B14" s="93" t="str">
        <f>Unidades!B6</f>
        <v>T1</v>
      </c>
      <c r="C14" s="93" t="str">
        <f>Unidades!C6</f>
        <v>Fase 4</v>
      </c>
      <c r="D14" s="76">
        <f>Unidades!R6</f>
        <v>794.87</v>
      </c>
      <c r="E14" s="94" t="s">
        <v>622</v>
      </c>
      <c r="F14" s="94" t="s">
        <v>617</v>
      </c>
      <c r="G14" s="94" t="s">
        <v>629</v>
      </c>
      <c r="H14" s="94" t="s">
        <v>624</v>
      </c>
      <c r="I14" s="94" t="s">
        <v>625</v>
      </c>
      <c r="J14" s="95">
        <f t="shared" si="0"/>
        <v>2.0000000000000004E-2</v>
      </c>
      <c r="K14" s="96" t="s">
        <v>639</v>
      </c>
      <c r="L14" s="69"/>
    </row>
    <row r="15" spans="1:16" x14ac:dyDescent="0.25">
      <c r="A15" s="92" t="str">
        <f>Unidades!A7</f>
        <v>A-005</v>
      </c>
      <c r="B15" s="93" t="str">
        <f>Unidades!B7</f>
        <v>T1</v>
      </c>
      <c r="C15" s="93" t="str">
        <f>Unidades!C7</f>
        <v>Fase 4</v>
      </c>
      <c r="D15" s="76">
        <f>Unidades!R7</f>
        <v>801.89</v>
      </c>
      <c r="E15" s="94" t="s">
        <v>622</v>
      </c>
      <c r="F15" s="94" t="s">
        <v>623</v>
      </c>
      <c r="G15" s="94" t="s">
        <v>618</v>
      </c>
      <c r="H15" s="94" t="s">
        <v>624</v>
      </c>
      <c r="I15" s="94" t="s">
        <v>631</v>
      </c>
      <c r="J15" s="95">
        <f t="shared" si="0"/>
        <v>1.9999999999999997E-2</v>
      </c>
      <c r="K15" s="96" t="s">
        <v>639</v>
      </c>
      <c r="L15" s="69"/>
    </row>
    <row r="16" spans="1:16" x14ac:dyDescent="0.25">
      <c r="A16" s="92" t="str">
        <f>Unidades!A8</f>
        <v>A-006</v>
      </c>
      <c r="B16" s="93" t="str">
        <f>Unidades!B8</f>
        <v>T1</v>
      </c>
      <c r="C16" s="93" t="str">
        <f>Unidades!C8</f>
        <v>Fase 4</v>
      </c>
      <c r="D16" s="76">
        <f>Unidades!R8</f>
        <v>828.77</v>
      </c>
      <c r="E16" s="94" t="s">
        <v>627</v>
      </c>
      <c r="F16" s="94" t="s">
        <v>623</v>
      </c>
      <c r="G16" s="94" t="s">
        <v>629</v>
      </c>
      <c r="H16" s="94" t="s">
        <v>624</v>
      </c>
      <c r="I16" s="94" t="s">
        <v>620</v>
      </c>
      <c r="J16" s="95">
        <f t="shared" si="0"/>
        <v>-9.9999999999999985E-3</v>
      </c>
      <c r="K16" s="96" t="s">
        <v>639</v>
      </c>
      <c r="L16" s="69"/>
    </row>
    <row r="17" spans="1:12" x14ac:dyDescent="0.25">
      <c r="A17" s="92" t="str">
        <f>Unidades!A9</f>
        <v>A-007</v>
      </c>
      <c r="B17" s="93" t="str">
        <f>Unidades!B9</f>
        <v>T1</v>
      </c>
      <c r="C17" s="93" t="str">
        <f>Unidades!C9</f>
        <v>Fase 4</v>
      </c>
      <c r="D17" s="76">
        <f>Unidades!R9</f>
        <v>788.69</v>
      </c>
      <c r="E17" s="94" t="s">
        <v>622</v>
      </c>
      <c r="F17" s="94" t="s">
        <v>623</v>
      </c>
      <c r="G17" s="94" t="s">
        <v>618</v>
      </c>
      <c r="H17" s="94" t="s">
        <v>624</v>
      </c>
      <c r="I17" s="94" t="s">
        <v>631</v>
      </c>
      <c r="J17" s="95">
        <f t="shared" si="0"/>
        <v>1.9999999999999997E-2</v>
      </c>
      <c r="K17" s="96" t="s">
        <v>639</v>
      </c>
      <c r="L17" s="69"/>
    </row>
    <row r="18" spans="1:12" x14ac:dyDescent="0.25">
      <c r="A18" s="92" t="str">
        <f>Unidades!A10</f>
        <v>A-008</v>
      </c>
      <c r="B18" s="93" t="str">
        <f>Unidades!B10</f>
        <v>T1</v>
      </c>
      <c r="C18" s="93" t="str">
        <f>Unidades!C10</f>
        <v>Fase 4</v>
      </c>
      <c r="D18" s="76">
        <f>Unidades!R10</f>
        <v>1228.17</v>
      </c>
      <c r="E18" s="94" t="s">
        <v>627</v>
      </c>
      <c r="F18" s="94" t="s">
        <v>623</v>
      </c>
      <c r="G18" s="94" t="s">
        <v>618</v>
      </c>
      <c r="H18" s="94" t="s">
        <v>624</v>
      </c>
      <c r="I18" s="94" t="s">
        <v>625</v>
      </c>
      <c r="J18" s="95">
        <f t="shared" si="0"/>
        <v>0</v>
      </c>
      <c r="K18" s="96" t="s">
        <v>639</v>
      </c>
      <c r="L18" s="69"/>
    </row>
    <row r="19" spans="1:12" x14ac:dyDescent="0.25">
      <c r="A19" s="92" t="str">
        <f>Unidades!A11</f>
        <v>A-009</v>
      </c>
      <c r="B19" s="93" t="str">
        <f>Unidades!B11</f>
        <v>T1</v>
      </c>
      <c r="C19" s="93" t="str">
        <f>Unidades!C11</f>
        <v>Fase 4</v>
      </c>
      <c r="D19" s="76">
        <f>Unidades!R11</f>
        <v>932</v>
      </c>
      <c r="E19" s="94" t="s">
        <v>622</v>
      </c>
      <c r="F19" s="94" t="s">
        <v>623</v>
      </c>
      <c r="G19" s="94" t="s">
        <v>624</v>
      </c>
      <c r="H19" s="94" t="s">
        <v>624</v>
      </c>
      <c r="I19" s="94" t="s">
        <v>620</v>
      </c>
      <c r="J19" s="95">
        <f t="shared" si="0"/>
        <v>3.9999999999999994E-2</v>
      </c>
      <c r="K19" s="96" t="s">
        <v>639</v>
      </c>
      <c r="L19" s="69"/>
    </row>
    <row r="20" spans="1:12" x14ac:dyDescent="0.25">
      <c r="A20" s="92" t="str">
        <f>Unidades!A12</f>
        <v>A-010</v>
      </c>
      <c r="B20" s="93" t="str">
        <f>Unidades!B12</f>
        <v>T1</v>
      </c>
      <c r="C20" s="93" t="str">
        <f>Unidades!C12</f>
        <v>Fase 4</v>
      </c>
      <c r="D20" s="76">
        <f>Unidades!R12</f>
        <v>883.19</v>
      </c>
      <c r="E20" s="94" t="s">
        <v>622</v>
      </c>
      <c r="F20" s="94" t="s">
        <v>623</v>
      </c>
      <c r="G20" s="94" t="s">
        <v>624</v>
      </c>
      <c r="H20" s="94" t="s">
        <v>624</v>
      </c>
      <c r="I20" s="94" t="s">
        <v>631</v>
      </c>
      <c r="J20" s="95">
        <f t="shared" si="0"/>
        <v>9.9999999999999967E-3</v>
      </c>
      <c r="K20" s="96" t="s">
        <v>639</v>
      </c>
      <c r="L20" s="69"/>
    </row>
    <row r="21" spans="1:12" x14ac:dyDescent="0.25">
      <c r="A21" s="92" t="str">
        <f>Unidades!A13</f>
        <v>A-011</v>
      </c>
      <c r="B21" s="93" t="str">
        <f>Unidades!B13</f>
        <v>T1</v>
      </c>
      <c r="C21" s="93" t="str">
        <f>Unidades!C13</f>
        <v>Fase 4</v>
      </c>
      <c r="D21" s="76">
        <f>Unidades!R13</f>
        <v>811.64</v>
      </c>
      <c r="E21" s="94" t="s">
        <v>622</v>
      </c>
      <c r="F21" s="94" t="s">
        <v>623</v>
      </c>
      <c r="G21" s="94" t="s">
        <v>629</v>
      </c>
      <c r="H21" s="94" t="s">
        <v>624</v>
      </c>
      <c r="I21" s="94" t="s">
        <v>625</v>
      </c>
      <c r="J21" s="95">
        <f t="shared" si="0"/>
        <v>0</v>
      </c>
      <c r="K21" s="96" t="s">
        <v>639</v>
      </c>
      <c r="L21" s="69"/>
    </row>
    <row r="22" spans="1:12" x14ac:dyDescent="0.25">
      <c r="A22" s="92" t="str">
        <f>Unidades!A14</f>
        <v>A-012</v>
      </c>
      <c r="B22" s="93" t="str">
        <f>Unidades!B14</f>
        <v>T1</v>
      </c>
      <c r="C22" s="93" t="str">
        <f>Unidades!C14</f>
        <v>Fase 4</v>
      </c>
      <c r="D22" s="76">
        <f>Unidades!R14</f>
        <v>832.55</v>
      </c>
      <c r="E22" s="94" t="s">
        <v>616</v>
      </c>
      <c r="F22" s="94" t="s">
        <v>623</v>
      </c>
      <c r="G22" s="94" t="s">
        <v>618</v>
      </c>
      <c r="H22" s="94" t="s">
        <v>619</v>
      </c>
      <c r="I22" s="94" t="s">
        <v>625</v>
      </c>
      <c r="J22" s="95">
        <f t="shared" si="0"/>
        <v>0.1</v>
      </c>
      <c r="K22" s="96" t="s">
        <v>639</v>
      </c>
      <c r="L22" s="69"/>
    </row>
    <row r="23" spans="1:12" x14ac:dyDescent="0.25">
      <c r="A23" s="92" t="str">
        <f>Unidades!A15</f>
        <v>A-013</v>
      </c>
      <c r="B23" s="93" t="str">
        <f>Unidades!B15</f>
        <v>T1</v>
      </c>
      <c r="C23" s="93" t="str">
        <f>Unidades!C15</f>
        <v>Fase 4</v>
      </c>
      <c r="D23" s="76">
        <f>Unidades!R15</f>
        <v>840.4</v>
      </c>
      <c r="E23" s="94" t="s">
        <v>627</v>
      </c>
      <c r="F23" s="94" t="s">
        <v>617</v>
      </c>
      <c r="G23" s="94" t="s">
        <v>624</v>
      </c>
      <c r="H23" s="94" t="s">
        <v>624</v>
      </c>
      <c r="I23" s="94" t="s">
        <v>625</v>
      </c>
      <c r="J23" s="95">
        <f t="shared" si="0"/>
        <v>0.01</v>
      </c>
      <c r="K23" s="96" t="s">
        <v>639</v>
      </c>
      <c r="L23" s="69"/>
    </row>
    <row r="24" spans="1:12" x14ac:dyDescent="0.25">
      <c r="A24" s="92" t="str">
        <f>Unidades!A16</f>
        <v>A-014</v>
      </c>
      <c r="B24" s="93" t="str">
        <f>Unidades!B16</f>
        <v>T1</v>
      </c>
      <c r="C24" s="93" t="str">
        <f>Unidades!C16</f>
        <v>Fase 4</v>
      </c>
      <c r="D24" s="76">
        <f>Unidades!R16</f>
        <v>813.31</v>
      </c>
      <c r="E24" s="94" t="s">
        <v>616</v>
      </c>
      <c r="F24" s="94" t="s">
        <v>623</v>
      </c>
      <c r="G24" s="94" t="s">
        <v>624</v>
      </c>
      <c r="H24" s="94" t="s">
        <v>624</v>
      </c>
      <c r="I24" s="94" t="s">
        <v>625</v>
      </c>
      <c r="J24" s="95">
        <f t="shared" si="0"/>
        <v>7.0000000000000007E-2</v>
      </c>
      <c r="K24" s="96" t="s">
        <v>639</v>
      </c>
      <c r="L24" s="69"/>
    </row>
    <row r="25" spans="1:12" x14ac:dyDescent="0.25">
      <c r="A25" s="92" t="str">
        <f>Unidades!A17</f>
        <v>A-015</v>
      </c>
      <c r="B25" s="93" t="str">
        <f>Unidades!B17</f>
        <v>T1</v>
      </c>
      <c r="C25" s="93" t="str">
        <f>Unidades!C17</f>
        <v>Fase 4</v>
      </c>
      <c r="D25" s="76">
        <f>Unidades!R17</f>
        <v>922.55</v>
      </c>
      <c r="E25" s="94" t="s">
        <v>627</v>
      </c>
      <c r="F25" s="94" t="s">
        <v>628</v>
      </c>
      <c r="G25" s="94" t="s">
        <v>624</v>
      </c>
      <c r="H25" s="94" t="s">
        <v>624</v>
      </c>
      <c r="I25" s="94" t="s">
        <v>625</v>
      </c>
      <c r="J25" s="95">
        <f t="shared" si="0"/>
        <v>-0.03</v>
      </c>
      <c r="K25" s="96" t="s">
        <v>639</v>
      </c>
      <c r="L25" s="69"/>
    </row>
    <row r="26" spans="1:12" x14ac:dyDescent="0.25">
      <c r="A26" s="92" t="str">
        <f>Unidades!A18</f>
        <v>A-016</v>
      </c>
      <c r="B26" s="93" t="str">
        <f>Unidades!B18</f>
        <v>T1</v>
      </c>
      <c r="C26" s="93" t="str">
        <f>Unidades!C18</f>
        <v>Fase 4</v>
      </c>
      <c r="D26" s="76">
        <f>Unidades!R18</f>
        <v>848.54</v>
      </c>
      <c r="E26" s="94" t="s">
        <v>622</v>
      </c>
      <c r="F26" s="94" t="s">
        <v>623</v>
      </c>
      <c r="G26" s="94" t="s">
        <v>624</v>
      </c>
      <c r="H26" s="94" t="s">
        <v>624</v>
      </c>
      <c r="I26" s="94" t="s">
        <v>631</v>
      </c>
      <c r="J26" s="95">
        <f t="shared" si="0"/>
        <v>9.9999999999999967E-3</v>
      </c>
      <c r="K26" s="96" t="s">
        <v>639</v>
      </c>
      <c r="L26" s="69"/>
    </row>
    <row r="27" spans="1:12" x14ac:dyDescent="0.25">
      <c r="A27" s="92" t="str">
        <f>Unidades!A19</f>
        <v>A-017</v>
      </c>
      <c r="B27" s="93" t="str">
        <f>Unidades!B19</f>
        <v>T1</v>
      </c>
      <c r="C27" s="93" t="str">
        <f>Unidades!C19</f>
        <v>Fase 4</v>
      </c>
      <c r="D27" s="76">
        <f>Unidades!R19</f>
        <v>762.77</v>
      </c>
      <c r="E27" s="94" t="s">
        <v>622</v>
      </c>
      <c r="F27" s="94" t="s">
        <v>623</v>
      </c>
      <c r="G27" s="94" t="s">
        <v>618</v>
      </c>
      <c r="H27" s="94" t="s">
        <v>619</v>
      </c>
      <c r="I27" s="94" t="s">
        <v>625</v>
      </c>
      <c r="J27" s="95">
        <f t="shared" si="0"/>
        <v>0.05</v>
      </c>
      <c r="K27" s="96" t="s">
        <v>639</v>
      </c>
      <c r="L27" s="69"/>
    </row>
    <row r="28" spans="1:12" x14ac:dyDescent="0.25">
      <c r="A28" s="92" t="str">
        <f>Unidades!A20</f>
        <v>A-018</v>
      </c>
      <c r="B28" s="93" t="str">
        <f>Unidades!B20</f>
        <v>T1</v>
      </c>
      <c r="C28" s="93" t="str">
        <f>Unidades!C20</f>
        <v>Fase 4</v>
      </c>
      <c r="D28" s="76">
        <f>Unidades!R20</f>
        <v>1006.2</v>
      </c>
      <c r="E28" s="94" t="s">
        <v>622</v>
      </c>
      <c r="F28" s="94" t="s">
        <v>623</v>
      </c>
      <c r="G28" s="94" t="s">
        <v>624</v>
      </c>
      <c r="H28" s="94" t="s">
        <v>624</v>
      </c>
      <c r="I28" s="94" t="s">
        <v>631</v>
      </c>
      <c r="J28" s="95">
        <f t="shared" si="0"/>
        <v>9.9999999999999967E-3</v>
      </c>
      <c r="K28" s="96" t="s">
        <v>639</v>
      </c>
      <c r="L28" s="69"/>
    </row>
    <row r="29" spans="1:12" x14ac:dyDescent="0.25">
      <c r="A29" s="92" t="str">
        <f>Unidades!A21</f>
        <v>A-019</v>
      </c>
      <c r="B29" s="93" t="str">
        <f>Unidades!B21</f>
        <v>T1</v>
      </c>
      <c r="C29" s="93" t="str">
        <f>Unidades!C21</f>
        <v>Fase 4</v>
      </c>
      <c r="D29" s="76">
        <f>Unidades!R21</f>
        <v>1225.01</v>
      </c>
      <c r="E29" s="94" t="s">
        <v>622</v>
      </c>
      <c r="F29" s="94" t="s">
        <v>623</v>
      </c>
      <c r="G29" s="94" t="s">
        <v>624</v>
      </c>
      <c r="H29" s="94" t="s">
        <v>630</v>
      </c>
      <c r="I29" s="94" t="s">
        <v>625</v>
      </c>
      <c r="J29" s="95">
        <f t="shared" si="0"/>
        <v>9.9999999999999967E-3</v>
      </c>
      <c r="K29" s="96" t="s">
        <v>639</v>
      </c>
      <c r="L29" s="69"/>
    </row>
    <row r="30" spans="1:12" x14ac:dyDescent="0.25">
      <c r="A30" s="92" t="str">
        <f>Unidades!A22</f>
        <v>A-020</v>
      </c>
      <c r="B30" s="93" t="str">
        <f>Unidades!B22</f>
        <v>T1</v>
      </c>
      <c r="C30" s="93" t="str">
        <f>Unidades!C22</f>
        <v>Fase 4</v>
      </c>
      <c r="D30" s="76">
        <f>Unidades!R22</f>
        <v>1068.3499999999999</v>
      </c>
      <c r="E30" s="94" t="s">
        <v>622</v>
      </c>
      <c r="F30" s="94" t="s">
        <v>628</v>
      </c>
      <c r="G30" s="94" t="s">
        <v>629</v>
      </c>
      <c r="H30" s="94" t="s">
        <v>624</v>
      </c>
      <c r="I30" s="94" t="s">
        <v>631</v>
      </c>
      <c r="J30" s="95">
        <f t="shared" si="0"/>
        <v>-0.03</v>
      </c>
      <c r="K30" s="96" t="s">
        <v>639</v>
      </c>
      <c r="L30" s="69"/>
    </row>
    <row r="31" spans="1:12" x14ac:dyDescent="0.25">
      <c r="A31" s="92" t="str">
        <f>Unidades!A23</f>
        <v>A-021</v>
      </c>
      <c r="B31" s="93" t="str">
        <f>Unidades!B23</f>
        <v>T1</v>
      </c>
      <c r="C31" s="93" t="str">
        <f>Unidades!C23</f>
        <v>Fase 4</v>
      </c>
      <c r="D31" s="76">
        <f>Unidades!R23</f>
        <v>771.66</v>
      </c>
      <c r="E31" s="94" t="s">
        <v>616</v>
      </c>
      <c r="F31" s="94" t="s">
        <v>623</v>
      </c>
      <c r="G31" s="94" t="s">
        <v>624</v>
      </c>
      <c r="H31" s="94" t="s">
        <v>624</v>
      </c>
      <c r="I31" s="94" t="s">
        <v>625</v>
      </c>
      <c r="J31" s="95">
        <f t="shared" si="0"/>
        <v>7.0000000000000007E-2</v>
      </c>
      <c r="K31" s="96" t="s">
        <v>639</v>
      </c>
      <c r="L31" s="69"/>
    </row>
    <row r="32" spans="1:12" x14ac:dyDescent="0.25">
      <c r="A32" s="92" t="str">
        <f>Unidades!A24</f>
        <v>A-022</v>
      </c>
      <c r="B32" s="93" t="str">
        <f>Unidades!B24</f>
        <v>T1</v>
      </c>
      <c r="C32" s="93" t="str">
        <f>Unidades!C24</f>
        <v>Fase 4</v>
      </c>
      <c r="D32" s="76">
        <f>Unidades!R24</f>
        <v>880.1</v>
      </c>
      <c r="E32" s="94" t="s">
        <v>627</v>
      </c>
      <c r="F32" s="94" t="s">
        <v>628</v>
      </c>
      <c r="G32" s="94" t="s">
        <v>629</v>
      </c>
      <c r="H32" s="94" t="s">
        <v>624</v>
      </c>
      <c r="I32" s="94" t="s">
        <v>620</v>
      </c>
      <c r="J32" s="95">
        <f t="shared" si="0"/>
        <v>-3.0000000000000002E-2</v>
      </c>
      <c r="K32" s="96" t="s">
        <v>639</v>
      </c>
      <c r="L32" s="69"/>
    </row>
    <row r="33" spans="1:12" x14ac:dyDescent="0.25">
      <c r="A33" s="92" t="str">
        <f>Unidades!A25</f>
        <v>A-023</v>
      </c>
      <c r="B33" s="93" t="str">
        <f>Unidades!B25</f>
        <v>T1</v>
      </c>
      <c r="C33" s="93" t="str">
        <f>Unidades!C25</f>
        <v>Fase 4</v>
      </c>
      <c r="D33" s="76">
        <f>Unidades!R25</f>
        <v>799.87</v>
      </c>
      <c r="E33" s="94" t="s">
        <v>622</v>
      </c>
      <c r="F33" s="94" t="s">
        <v>623</v>
      </c>
      <c r="G33" s="94" t="s">
        <v>618</v>
      </c>
      <c r="H33" s="94" t="s">
        <v>624</v>
      </c>
      <c r="I33" s="94" t="s">
        <v>625</v>
      </c>
      <c r="J33" s="95">
        <f t="shared" si="0"/>
        <v>0.03</v>
      </c>
      <c r="K33" s="96" t="s">
        <v>639</v>
      </c>
      <c r="L33" s="69"/>
    </row>
    <row r="34" spans="1:12" x14ac:dyDescent="0.25">
      <c r="A34" s="92" t="str">
        <f>Unidades!A26</f>
        <v>A-024</v>
      </c>
      <c r="B34" s="93" t="str">
        <f>Unidades!B26</f>
        <v>T1</v>
      </c>
      <c r="C34" s="93" t="str">
        <f>Unidades!C26</f>
        <v>Fase 4</v>
      </c>
      <c r="D34" s="76">
        <f>Unidades!R26</f>
        <v>768.76</v>
      </c>
      <c r="E34" s="94" t="s">
        <v>622</v>
      </c>
      <c r="F34" s="94" t="s">
        <v>617</v>
      </c>
      <c r="G34" s="94" t="s">
        <v>618</v>
      </c>
      <c r="H34" s="94" t="s">
        <v>624</v>
      </c>
      <c r="I34" s="94" t="s">
        <v>631</v>
      </c>
      <c r="J34" s="95">
        <f t="shared" si="0"/>
        <v>0.04</v>
      </c>
      <c r="K34" s="96" t="s">
        <v>639</v>
      </c>
      <c r="L34" s="69"/>
    </row>
    <row r="35" spans="1:12" x14ac:dyDescent="0.25">
      <c r="A35" s="92" t="str">
        <f>Unidades!A27</f>
        <v>A-025</v>
      </c>
      <c r="B35" s="93" t="str">
        <f>Unidades!B27</f>
        <v>T1</v>
      </c>
      <c r="C35" s="93" t="str">
        <f>Unidades!C27</f>
        <v>Fase 4</v>
      </c>
      <c r="D35" s="76">
        <f>Unidades!R27</f>
        <v>767.97</v>
      </c>
      <c r="E35" s="94" t="s">
        <v>616</v>
      </c>
      <c r="F35" s="94" t="s">
        <v>623</v>
      </c>
      <c r="G35" s="94" t="s">
        <v>618</v>
      </c>
      <c r="H35" s="94" t="s">
        <v>624</v>
      </c>
      <c r="I35" s="94" t="s">
        <v>625</v>
      </c>
      <c r="J35" s="95">
        <f t="shared" si="0"/>
        <v>0.08</v>
      </c>
      <c r="K35" s="96" t="s">
        <v>639</v>
      </c>
      <c r="L35" s="69"/>
    </row>
    <row r="36" spans="1:12" x14ac:dyDescent="0.25">
      <c r="A36" s="92" t="str">
        <f>Unidades!A28</f>
        <v>A-026</v>
      </c>
      <c r="B36" s="93" t="str">
        <f>Unidades!B28</f>
        <v>T1</v>
      </c>
      <c r="C36" s="93" t="str">
        <f>Unidades!C28</f>
        <v>Fase 4</v>
      </c>
      <c r="D36" s="76">
        <f>Unidades!R28</f>
        <v>767.97</v>
      </c>
      <c r="E36" s="94" t="s">
        <v>627</v>
      </c>
      <c r="F36" s="94" t="s">
        <v>623</v>
      </c>
      <c r="G36" s="94" t="s">
        <v>624</v>
      </c>
      <c r="H36" s="94" t="s">
        <v>619</v>
      </c>
      <c r="I36" s="94" t="s">
        <v>625</v>
      </c>
      <c r="J36" s="95">
        <f t="shared" si="0"/>
        <v>0.01</v>
      </c>
      <c r="K36" s="96" t="s">
        <v>639</v>
      </c>
      <c r="L36" s="69"/>
    </row>
    <row r="37" spans="1:12" x14ac:dyDescent="0.25">
      <c r="A37" s="92" t="str">
        <f>Unidades!A29</f>
        <v>A-027</v>
      </c>
      <c r="B37" s="93" t="str">
        <f>Unidades!B29</f>
        <v>T1</v>
      </c>
      <c r="C37" s="93" t="str">
        <f>Unidades!C29</f>
        <v>Fase 4</v>
      </c>
      <c r="D37" s="76">
        <f>Unidades!R29</f>
        <v>767.97</v>
      </c>
      <c r="E37" s="94" t="s">
        <v>622</v>
      </c>
      <c r="F37" s="94" t="s">
        <v>623</v>
      </c>
      <c r="G37" s="94" t="s">
        <v>629</v>
      </c>
      <c r="H37" s="94" t="s">
        <v>624</v>
      </c>
      <c r="I37" s="94" t="s">
        <v>625</v>
      </c>
      <c r="J37" s="95">
        <f t="shared" si="0"/>
        <v>0</v>
      </c>
      <c r="K37" s="96" t="s">
        <v>639</v>
      </c>
      <c r="L37" s="69"/>
    </row>
    <row r="38" spans="1:12" x14ac:dyDescent="0.25">
      <c r="A38" s="92" t="str">
        <f>Unidades!A30</f>
        <v>A-028</v>
      </c>
      <c r="B38" s="93" t="str">
        <f>Unidades!B30</f>
        <v>T1</v>
      </c>
      <c r="C38" s="93" t="str">
        <f>Unidades!C30</f>
        <v>Fase 4</v>
      </c>
      <c r="D38" s="76">
        <f>Unidades!R30</f>
        <v>806.91</v>
      </c>
      <c r="E38" s="94" t="s">
        <v>616</v>
      </c>
      <c r="F38" s="94" t="s">
        <v>623</v>
      </c>
      <c r="G38" s="94" t="s">
        <v>624</v>
      </c>
      <c r="H38" s="94" t="s">
        <v>630</v>
      </c>
      <c r="I38" s="94" t="s">
        <v>631</v>
      </c>
      <c r="J38" s="95">
        <f t="shared" si="0"/>
        <v>0.05</v>
      </c>
      <c r="K38" s="96" t="s">
        <v>639</v>
      </c>
      <c r="L38" s="69"/>
    </row>
    <row r="39" spans="1:12" x14ac:dyDescent="0.25">
      <c r="A39" s="92" t="str">
        <f>Unidades!A31</f>
        <v>A-029</v>
      </c>
      <c r="B39" s="93" t="str">
        <f>Unidades!B31</f>
        <v>T1</v>
      </c>
      <c r="C39" s="93" t="str">
        <f>Unidades!C31</f>
        <v>Fase 4</v>
      </c>
      <c r="D39" s="76">
        <f>Unidades!R31</f>
        <v>813.54</v>
      </c>
      <c r="E39" s="94" t="s">
        <v>622</v>
      </c>
      <c r="F39" s="94" t="s">
        <v>617</v>
      </c>
      <c r="G39" s="94" t="s">
        <v>624</v>
      </c>
      <c r="H39" s="94" t="s">
        <v>630</v>
      </c>
      <c r="I39" s="94" t="s">
        <v>625</v>
      </c>
      <c r="J39" s="95">
        <f t="shared" si="0"/>
        <v>0.03</v>
      </c>
      <c r="K39" s="96" t="s">
        <v>639</v>
      </c>
      <c r="L39" s="69"/>
    </row>
    <row r="40" spans="1:12" x14ac:dyDescent="0.25">
      <c r="A40" s="92" t="str">
        <f>Unidades!A32</f>
        <v>A-030</v>
      </c>
      <c r="B40" s="93" t="str">
        <f>Unidades!B32</f>
        <v>T1</v>
      </c>
      <c r="C40" s="93" t="str">
        <f>Unidades!C32</f>
        <v>Fase 4</v>
      </c>
      <c r="D40" s="76">
        <f>Unidades!R32</f>
        <v>769.34</v>
      </c>
      <c r="E40" s="94" t="s">
        <v>627</v>
      </c>
      <c r="F40" s="94" t="s">
        <v>623</v>
      </c>
      <c r="G40" s="94" t="s">
        <v>624</v>
      </c>
      <c r="H40" s="94" t="s">
        <v>630</v>
      </c>
      <c r="I40" s="94" t="s">
        <v>625</v>
      </c>
      <c r="J40" s="95">
        <f t="shared" si="0"/>
        <v>-0.02</v>
      </c>
      <c r="K40" s="96" t="s">
        <v>639</v>
      </c>
      <c r="L40" s="69"/>
    </row>
    <row r="41" spans="1:12" x14ac:dyDescent="0.25">
      <c r="A41" s="92" t="str">
        <f>Unidades!A33</f>
        <v>A-031</v>
      </c>
      <c r="B41" s="93" t="str">
        <f>Unidades!B33</f>
        <v>T1</v>
      </c>
      <c r="C41" s="93" t="str">
        <f>Unidades!C33</f>
        <v>Fase 4</v>
      </c>
      <c r="D41" s="76">
        <f>Unidades!R33</f>
        <v>733.29</v>
      </c>
      <c r="E41" s="94" t="s">
        <v>616</v>
      </c>
      <c r="F41" s="94" t="s">
        <v>617</v>
      </c>
      <c r="G41" s="94" t="s">
        <v>618</v>
      </c>
      <c r="H41" s="94" t="s">
        <v>630</v>
      </c>
      <c r="I41" s="94" t="s">
        <v>620</v>
      </c>
      <c r="J41" s="95">
        <f t="shared" si="0"/>
        <v>0.11000000000000001</v>
      </c>
      <c r="K41" s="96" t="s">
        <v>639</v>
      </c>
      <c r="L41" s="69"/>
    </row>
    <row r="42" spans="1:12" x14ac:dyDescent="0.25">
      <c r="A42" s="92" t="str">
        <f>Unidades!A34</f>
        <v>A-032</v>
      </c>
      <c r="B42" s="93" t="str">
        <f>Unidades!B34</f>
        <v>T1</v>
      </c>
      <c r="C42" s="93" t="str">
        <f>Unidades!C34</f>
        <v>Fase 4</v>
      </c>
      <c r="D42" s="76">
        <f>Unidades!R34</f>
        <v>1014.84</v>
      </c>
      <c r="E42" s="94" t="s">
        <v>622</v>
      </c>
      <c r="F42" s="94" t="s">
        <v>623</v>
      </c>
      <c r="G42" s="94" t="s">
        <v>624</v>
      </c>
      <c r="H42" s="94" t="s">
        <v>619</v>
      </c>
      <c r="I42" s="94" t="s">
        <v>625</v>
      </c>
      <c r="J42" s="95">
        <f t="shared" si="0"/>
        <v>3.9999999999999994E-2</v>
      </c>
      <c r="K42" s="96" t="s">
        <v>639</v>
      </c>
      <c r="L42" s="69"/>
    </row>
    <row r="43" spans="1:12" x14ac:dyDescent="0.25">
      <c r="A43" s="92" t="str">
        <f>Unidades!A35</f>
        <v>B-001</v>
      </c>
      <c r="B43" s="93" t="str">
        <f>Unidades!B35</f>
        <v>T2</v>
      </c>
      <c r="C43" s="93" t="str">
        <f>Unidades!C35</f>
        <v>Fase 4</v>
      </c>
      <c r="D43" s="76">
        <f>Unidades!R35</f>
        <v>928.76</v>
      </c>
      <c r="E43" s="94" t="s">
        <v>622</v>
      </c>
      <c r="F43" s="94" t="s">
        <v>623</v>
      </c>
      <c r="G43" s="94" t="s">
        <v>618</v>
      </c>
      <c r="H43" s="94" t="s">
        <v>619</v>
      </c>
      <c r="I43" s="94" t="s">
        <v>631</v>
      </c>
      <c r="J43" s="95">
        <f t="shared" si="0"/>
        <v>0.04</v>
      </c>
      <c r="K43" s="96" t="s">
        <v>639</v>
      </c>
      <c r="L43" s="69"/>
    </row>
    <row r="44" spans="1:12" x14ac:dyDescent="0.25">
      <c r="A44" s="92" t="str">
        <f>Unidades!A36</f>
        <v>B-002</v>
      </c>
      <c r="B44" s="93" t="str">
        <f>Unidades!B36</f>
        <v>T2</v>
      </c>
      <c r="C44" s="93" t="str">
        <f>Unidades!C36</f>
        <v>Fase 4</v>
      </c>
      <c r="D44" s="76">
        <f>Unidades!R36</f>
        <v>822.83</v>
      </c>
      <c r="E44" s="94" t="s">
        <v>622</v>
      </c>
      <c r="F44" s="94" t="s">
        <v>623</v>
      </c>
      <c r="G44" s="94" t="s">
        <v>618</v>
      </c>
      <c r="H44" s="94" t="s">
        <v>624</v>
      </c>
      <c r="I44" s="94" t="s">
        <v>625</v>
      </c>
      <c r="J44" s="95">
        <f t="shared" si="0"/>
        <v>0.03</v>
      </c>
      <c r="K44" s="96" t="s">
        <v>639</v>
      </c>
      <c r="L44" s="69"/>
    </row>
    <row r="45" spans="1:12" x14ac:dyDescent="0.25">
      <c r="A45" s="92" t="str">
        <f>Unidades!A37</f>
        <v>B-003</v>
      </c>
      <c r="B45" s="93" t="str">
        <f>Unidades!B37</f>
        <v>T2</v>
      </c>
      <c r="C45" s="93" t="str">
        <f>Unidades!C37</f>
        <v>Fase 4</v>
      </c>
      <c r="D45" s="76">
        <f>Unidades!R37</f>
        <v>795.65</v>
      </c>
      <c r="E45" s="94" t="s">
        <v>622</v>
      </c>
      <c r="F45" s="94" t="s">
        <v>623</v>
      </c>
      <c r="G45" s="94" t="s">
        <v>624</v>
      </c>
      <c r="H45" s="94" t="s">
        <v>619</v>
      </c>
      <c r="I45" s="94" t="s">
        <v>625</v>
      </c>
      <c r="J45" s="95">
        <f t="shared" si="0"/>
        <v>3.9999999999999994E-2</v>
      </c>
      <c r="K45" s="96" t="s">
        <v>639</v>
      </c>
      <c r="L45" s="69"/>
    </row>
    <row r="46" spans="1:12" x14ac:dyDescent="0.25">
      <c r="A46" s="92" t="str">
        <f>Unidades!A38</f>
        <v>B-004</v>
      </c>
      <c r="B46" s="93" t="str">
        <f>Unidades!B38</f>
        <v>T2</v>
      </c>
      <c r="C46" s="93" t="str">
        <f>Unidades!C38</f>
        <v>Fase 4</v>
      </c>
      <c r="D46" s="76">
        <f>Unidades!R38</f>
        <v>747.22</v>
      </c>
      <c r="E46" s="94" t="s">
        <v>616</v>
      </c>
      <c r="F46" s="94" t="s">
        <v>628</v>
      </c>
      <c r="G46" s="94" t="s">
        <v>618</v>
      </c>
      <c r="H46" s="94" t="s">
        <v>624</v>
      </c>
      <c r="I46" s="94" t="s">
        <v>625</v>
      </c>
      <c r="J46" s="95">
        <f t="shared" si="0"/>
        <v>0.06</v>
      </c>
      <c r="K46" s="96" t="s">
        <v>639</v>
      </c>
      <c r="L46" s="69"/>
    </row>
    <row r="47" spans="1:12" x14ac:dyDescent="0.25">
      <c r="A47" s="92" t="str">
        <f>Unidades!A39</f>
        <v>B-005</v>
      </c>
      <c r="B47" s="93" t="str">
        <f>Unidades!B39</f>
        <v>T2</v>
      </c>
      <c r="C47" s="93" t="str">
        <f>Unidades!C39</f>
        <v>Fase 4</v>
      </c>
      <c r="D47" s="76">
        <f>Unidades!R39</f>
        <v>1127.3900000000001</v>
      </c>
      <c r="E47" s="94" t="s">
        <v>622</v>
      </c>
      <c r="F47" s="94" t="s">
        <v>623</v>
      </c>
      <c r="G47" s="94" t="s">
        <v>618</v>
      </c>
      <c r="H47" s="94" t="s">
        <v>624</v>
      </c>
      <c r="I47" s="94" t="s">
        <v>631</v>
      </c>
      <c r="J47" s="95">
        <f t="shared" si="0"/>
        <v>1.9999999999999997E-2</v>
      </c>
      <c r="K47" s="96" t="s">
        <v>639</v>
      </c>
      <c r="L47" s="69"/>
    </row>
    <row r="48" spans="1:12" x14ac:dyDescent="0.25">
      <c r="A48" s="92" t="str">
        <f>Unidades!A40</f>
        <v>B-006</v>
      </c>
      <c r="B48" s="93" t="str">
        <f>Unidades!B40</f>
        <v>T2</v>
      </c>
      <c r="C48" s="93" t="str">
        <f>Unidades!C40</f>
        <v>Fase 4</v>
      </c>
      <c r="D48" s="76">
        <f>Unidades!R40</f>
        <v>773.59</v>
      </c>
      <c r="E48" s="94" t="s">
        <v>616</v>
      </c>
      <c r="F48" s="94" t="s">
        <v>623</v>
      </c>
      <c r="G48" s="94" t="s">
        <v>624</v>
      </c>
      <c r="H48" s="94" t="s">
        <v>624</v>
      </c>
      <c r="I48" s="94" t="s">
        <v>631</v>
      </c>
      <c r="J48" s="95">
        <f t="shared" si="0"/>
        <v>6.0000000000000005E-2</v>
      </c>
      <c r="K48" s="96" t="s">
        <v>639</v>
      </c>
      <c r="L48" s="69"/>
    </row>
    <row r="49" spans="1:12" x14ac:dyDescent="0.25">
      <c r="A49" s="92" t="str">
        <f>Unidades!A41</f>
        <v>B-007</v>
      </c>
      <c r="B49" s="93" t="str">
        <f>Unidades!B41</f>
        <v>T2</v>
      </c>
      <c r="C49" s="93" t="str">
        <f>Unidades!C41</f>
        <v>Fase 4</v>
      </c>
      <c r="D49" s="76">
        <f>Unidades!R41</f>
        <v>754.14</v>
      </c>
      <c r="E49" s="94" t="s">
        <v>616</v>
      </c>
      <c r="F49" s="94" t="s">
        <v>623</v>
      </c>
      <c r="G49" s="94" t="s">
        <v>618</v>
      </c>
      <c r="H49" s="94" t="s">
        <v>624</v>
      </c>
      <c r="I49" s="94" t="s">
        <v>625</v>
      </c>
      <c r="J49" s="95">
        <f t="shared" si="0"/>
        <v>0.08</v>
      </c>
      <c r="K49" s="96" t="s">
        <v>639</v>
      </c>
      <c r="L49" s="69"/>
    </row>
    <row r="50" spans="1:12" x14ac:dyDescent="0.25">
      <c r="A50" s="92" t="str">
        <f>Unidades!A42</f>
        <v>B-008</v>
      </c>
      <c r="B50" s="93" t="str">
        <f>Unidades!B42</f>
        <v>T2</v>
      </c>
      <c r="C50" s="93" t="str">
        <f>Unidades!C42</f>
        <v>Fase 4</v>
      </c>
      <c r="D50" s="76">
        <f>Unidades!R42</f>
        <v>754.14</v>
      </c>
      <c r="E50" s="94" t="s">
        <v>616</v>
      </c>
      <c r="F50" s="94" t="s">
        <v>623</v>
      </c>
      <c r="G50" s="94" t="s">
        <v>618</v>
      </c>
      <c r="H50" s="94" t="s">
        <v>624</v>
      </c>
      <c r="I50" s="94" t="s">
        <v>625</v>
      </c>
      <c r="J50" s="95">
        <f t="shared" si="0"/>
        <v>0.08</v>
      </c>
      <c r="K50" s="96" t="s">
        <v>639</v>
      </c>
      <c r="L50" s="69"/>
    </row>
    <row r="51" spans="1:12" x14ac:dyDescent="0.25">
      <c r="A51" s="92" t="str">
        <f>Unidades!A43</f>
        <v>B-009</v>
      </c>
      <c r="B51" s="93" t="str">
        <f>Unidades!B43</f>
        <v>T2</v>
      </c>
      <c r="C51" s="93" t="str">
        <f>Unidades!C43</f>
        <v>Fase 4</v>
      </c>
      <c r="D51" s="76">
        <f>Unidades!R43</f>
        <v>754.33</v>
      </c>
      <c r="E51" s="94" t="s">
        <v>627</v>
      </c>
      <c r="F51" s="94" t="s">
        <v>623</v>
      </c>
      <c r="G51" s="94" t="s">
        <v>624</v>
      </c>
      <c r="H51" s="94" t="s">
        <v>624</v>
      </c>
      <c r="I51" s="94" t="s">
        <v>625</v>
      </c>
      <c r="J51" s="95">
        <f t="shared" si="0"/>
        <v>-0.01</v>
      </c>
      <c r="K51" s="96" t="s">
        <v>639</v>
      </c>
      <c r="L51" s="69"/>
    </row>
    <row r="52" spans="1:12" x14ac:dyDescent="0.25">
      <c r="A52" s="92" t="str">
        <f>Unidades!A44</f>
        <v>B-010</v>
      </c>
      <c r="B52" s="93" t="str">
        <f>Unidades!B44</f>
        <v>T2</v>
      </c>
      <c r="C52" s="93" t="str">
        <f>Unidades!C44</f>
        <v>Fase 4</v>
      </c>
      <c r="D52" s="76">
        <f>Unidades!R44</f>
        <v>729.71</v>
      </c>
      <c r="E52" s="94" t="s">
        <v>616</v>
      </c>
      <c r="F52" s="94" t="s">
        <v>623</v>
      </c>
      <c r="G52" s="94" t="s">
        <v>624</v>
      </c>
      <c r="H52" s="94" t="s">
        <v>630</v>
      </c>
      <c r="I52" s="94" t="s">
        <v>625</v>
      </c>
      <c r="J52" s="95">
        <f t="shared" si="0"/>
        <v>6.0000000000000005E-2</v>
      </c>
      <c r="K52" s="96" t="s">
        <v>639</v>
      </c>
      <c r="L52" s="69"/>
    </row>
    <row r="53" spans="1:12" x14ac:dyDescent="0.25">
      <c r="A53" s="92" t="str">
        <f>Unidades!A45</f>
        <v>B-011</v>
      </c>
      <c r="B53" s="93" t="str">
        <f>Unidades!B45</f>
        <v>T2</v>
      </c>
      <c r="C53" s="93" t="str">
        <f>Unidades!C45</f>
        <v>Fase 4</v>
      </c>
      <c r="D53" s="76">
        <f>Unidades!R45</f>
        <v>1046.69</v>
      </c>
      <c r="E53" s="94" t="s">
        <v>616</v>
      </c>
      <c r="F53" s="94" t="s">
        <v>628</v>
      </c>
      <c r="G53" s="94" t="s">
        <v>629</v>
      </c>
      <c r="H53" s="94" t="s">
        <v>624</v>
      </c>
      <c r="I53" s="94" t="s">
        <v>625</v>
      </c>
      <c r="J53" s="95">
        <f t="shared" si="0"/>
        <v>0.03</v>
      </c>
      <c r="K53" s="96" t="s">
        <v>639</v>
      </c>
      <c r="L53" s="69"/>
    </row>
    <row r="54" spans="1:12" x14ac:dyDescent="0.25">
      <c r="A54" s="92" t="str">
        <f>Unidades!A46</f>
        <v>B-012</v>
      </c>
      <c r="B54" s="93" t="str">
        <f>Unidades!B46</f>
        <v>T2</v>
      </c>
      <c r="C54" s="93" t="str">
        <f>Unidades!C46</f>
        <v>Fase 4</v>
      </c>
      <c r="D54" s="76">
        <f>Unidades!R46</f>
        <v>756.16</v>
      </c>
      <c r="E54" s="94" t="s">
        <v>627</v>
      </c>
      <c r="F54" s="94" t="s">
        <v>623</v>
      </c>
      <c r="G54" s="94" t="s">
        <v>624</v>
      </c>
      <c r="H54" s="94" t="s">
        <v>630</v>
      </c>
      <c r="I54" s="94" t="s">
        <v>625</v>
      </c>
      <c r="J54" s="95">
        <f t="shared" si="0"/>
        <v>-0.02</v>
      </c>
      <c r="K54" s="96" t="s">
        <v>639</v>
      </c>
      <c r="L54" s="69"/>
    </row>
    <row r="55" spans="1:12" x14ac:dyDescent="0.25">
      <c r="A55" s="92" t="str">
        <f>Unidades!A47</f>
        <v>B-013</v>
      </c>
      <c r="B55" s="93" t="str">
        <f>Unidades!B47</f>
        <v>T2</v>
      </c>
      <c r="C55" s="93" t="str">
        <f>Unidades!C47</f>
        <v>Fase 4</v>
      </c>
      <c r="D55" s="76">
        <f>Unidades!R47</f>
        <v>789.57</v>
      </c>
      <c r="E55" s="94" t="s">
        <v>616</v>
      </c>
      <c r="F55" s="94" t="s">
        <v>623</v>
      </c>
      <c r="G55" s="94" t="s">
        <v>624</v>
      </c>
      <c r="H55" s="94" t="s">
        <v>624</v>
      </c>
      <c r="I55" s="94" t="s">
        <v>620</v>
      </c>
      <c r="J55" s="95">
        <f t="shared" si="0"/>
        <v>9.0000000000000011E-2</v>
      </c>
      <c r="K55" s="96" t="s">
        <v>639</v>
      </c>
      <c r="L55" s="69"/>
    </row>
    <row r="56" spans="1:12" x14ac:dyDescent="0.25">
      <c r="A56" s="92" t="str">
        <f>Unidades!A48</f>
        <v>B-014</v>
      </c>
      <c r="B56" s="93" t="str">
        <f>Unidades!B48</f>
        <v>T2</v>
      </c>
      <c r="C56" s="93" t="str">
        <f>Unidades!C48</f>
        <v>Fase 4</v>
      </c>
      <c r="D56" s="76">
        <f>Unidades!R48</f>
        <v>754.99</v>
      </c>
      <c r="E56" s="94" t="s">
        <v>627</v>
      </c>
      <c r="F56" s="94" t="s">
        <v>623</v>
      </c>
      <c r="G56" s="94" t="s">
        <v>624</v>
      </c>
      <c r="H56" s="94" t="s">
        <v>619</v>
      </c>
      <c r="I56" s="94" t="s">
        <v>625</v>
      </c>
      <c r="J56" s="95">
        <f t="shared" si="0"/>
        <v>0.01</v>
      </c>
      <c r="K56" s="96" t="s">
        <v>639</v>
      </c>
      <c r="L56" s="69"/>
    </row>
    <row r="57" spans="1:12" x14ac:dyDescent="0.25">
      <c r="A57" s="92" t="str">
        <f>Unidades!A49</f>
        <v>C-001</v>
      </c>
      <c r="B57" s="93" t="str">
        <f>Unidades!B49</f>
        <v>T3</v>
      </c>
      <c r="C57" s="93" t="str">
        <f>Unidades!C49</f>
        <v>Fase 4</v>
      </c>
      <c r="D57" s="76">
        <f>Unidades!R49</f>
        <v>1404.01</v>
      </c>
      <c r="E57" s="94" t="s">
        <v>622</v>
      </c>
      <c r="F57" s="94" t="s">
        <v>623</v>
      </c>
      <c r="G57" s="94" t="s">
        <v>618</v>
      </c>
      <c r="H57" s="94" t="s">
        <v>624</v>
      </c>
      <c r="I57" s="94" t="s">
        <v>631</v>
      </c>
      <c r="J57" s="95">
        <f t="shared" si="0"/>
        <v>1.9999999999999997E-2</v>
      </c>
      <c r="K57" s="96" t="s">
        <v>639</v>
      </c>
      <c r="L57" s="69"/>
    </row>
    <row r="58" spans="1:12" x14ac:dyDescent="0.25">
      <c r="A58" s="92" t="str">
        <f>Unidades!A50</f>
        <v>C-002</v>
      </c>
      <c r="B58" s="93" t="str">
        <f>Unidades!B50</f>
        <v>T3</v>
      </c>
      <c r="C58" s="93" t="str">
        <f>Unidades!C50</f>
        <v>Fase 4</v>
      </c>
      <c r="D58" s="76">
        <f>Unidades!R50</f>
        <v>1054.49</v>
      </c>
      <c r="E58" s="94" t="s">
        <v>616</v>
      </c>
      <c r="F58" s="94" t="s">
        <v>623</v>
      </c>
      <c r="G58" s="94" t="s">
        <v>624</v>
      </c>
      <c r="H58" s="94" t="s">
        <v>624</v>
      </c>
      <c r="I58" s="94" t="s">
        <v>620</v>
      </c>
      <c r="J58" s="95">
        <f t="shared" si="0"/>
        <v>9.0000000000000011E-2</v>
      </c>
      <c r="K58" s="96" t="s">
        <v>639</v>
      </c>
      <c r="L58" s="69"/>
    </row>
    <row r="59" spans="1:12" x14ac:dyDescent="0.25">
      <c r="A59" s="92" t="str">
        <f>Unidades!A51</f>
        <v>C-003</v>
      </c>
      <c r="B59" s="93" t="str">
        <f>Unidades!B51</f>
        <v>T3</v>
      </c>
      <c r="C59" s="93" t="str">
        <f>Unidades!C51</f>
        <v>Fase 4</v>
      </c>
      <c r="D59" s="76">
        <f>Unidades!R51</f>
        <v>852.04</v>
      </c>
      <c r="E59" s="94" t="s">
        <v>622</v>
      </c>
      <c r="F59" s="94" t="s">
        <v>623</v>
      </c>
      <c r="G59" s="94" t="s">
        <v>618</v>
      </c>
      <c r="H59" s="94" t="s">
        <v>630</v>
      </c>
      <c r="I59" s="94" t="s">
        <v>625</v>
      </c>
      <c r="J59" s="95">
        <f t="shared" si="0"/>
        <v>1.9999999999999997E-2</v>
      </c>
      <c r="K59" s="96" t="s">
        <v>639</v>
      </c>
      <c r="L59" s="69"/>
    </row>
    <row r="60" spans="1:12" x14ac:dyDescent="0.25">
      <c r="A60" s="92" t="str">
        <f>Unidades!A52</f>
        <v>C-004</v>
      </c>
      <c r="B60" s="93" t="str">
        <f>Unidades!B52</f>
        <v>T3</v>
      </c>
      <c r="C60" s="93" t="str">
        <f>Unidades!C52</f>
        <v>Fase 4</v>
      </c>
      <c r="D60" s="76">
        <f>Unidades!R52</f>
        <v>947.6</v>
      </c>
      <c r="E60" s="94" t="s">
        <v>622</v>
      </c>
      <c r="F60" s="94" t="s">
        <v>623</v>
      </c>
      <c r="G60" s="94" t="s">
        <v>618</v>
      </c>
      <c r="H60" s="94" t="s">
        <v>624</v>
      </c>
      <c r="I60" s="94" t="s">
        <v>631</v>
      </c>
      <c r="J60" s="95">
        <f t="shared" si="0"/>
        <v>1.9999999999999997E-2</v>
      </c>
      <c r="K60" s="96" t="s">
        <v>639</v>
      </c>
      <c r="L60" s="69"/>
    </row>
    <row r="61" spans="1:12" x14ac:dyDescent="0.25">
      <c r="A61" s="92" t="str">
        <f>Unidades!A53</f>
        <v>C-005</v>
      </c>
      <c r="B61" s="93" t="str">
        <f>Unidades!B53</f>
        <v>T3</v>
      </c>
      <c r="C61" s="93" t="str">
        <f>Unidades!C53</f>
        <v>Fase 4</v>
      </c>
      <c r="D61" s="76">
        <f>Unidades!R53</f>
        <v>753</v>
      </c>
      <c r="E61" s="94" t="s">
        <v>627</v>
      </c>
      <c r="F61" s="94" t="s">
        <v>623</v>
      </c>
      <c r="G61" s="94" t="s">
        <v>618</v>
      </c>
      <c r="H61" s="94" t="s">
        <v>619</v>
      </c>
      <c r="I61" s="94" t="s">
        <v>620</v>
      </c>
      <c r="J61" s="95">
        <f t="shared" si="0"/>
        <v>0.04</v>
      </c>
      <c r="K61" s="96" t="s">
        <v>639</v>
      </c>
      <c r="L61" s="69"/>
    </row>
    <row r="62" spans="1:12" x14ac:dyDescent="0.25">
      <c r="A62" s="92" t="str">
        <f>Unidades!A54</f>
        <v>C-006</v>
      </c>
      <c r="B62" s="93" t="str">
        <f>Unidades!B54</f>
        <v>T3</v>
      </c>
      <c r="C62" s="93" t="str">
        <f>Unidades!C54</f>
        <v>Fase 4</v>
      </c>
      <c r="D62" s="76">
        <f>Unidades!R54</f>
        <v>759.1</v>
      </c>
      <c r="E62" s="94" t="s">
        <v>616</v>
      </c>
      <c r="F62" s="94" t="s">
        <v>623</v>
      </c>
      <c r="G62" s="94" t="s">
        <v>624</v>
      </c>
      <c r="H62" s="94" t="s">
        <v>630</v>
      </c>
      <c r="I62" s="94" t="s">
        <v>625</v>
      </c>
      <c r="J62" s="95">
        <f t="shared" si="0"/>
        <v>6.0000000000000005E-2</v>
      </c>
      <c r="K62" s="96" t="s">
        <v>639</v>
      </c>
      <c r="L62" s="69"/>
    </row>
    <row r="63" spans="1:12" x14ac:dyDescent="0.25">
      <c r="A63" s="92" t="str">
        <f>Unidades!A55</f>
        <v>C-007</v>
      </c>
      <c r="B63" s="93" t="str">
        <f>Unidades!B55</f>
        <v>T3</v>
      </c>
      <c r="C63" s="93" t="str">
        <f>Unidades!C55</f>
        <v>Fase 4</v>
      </c>
      <c r="D63" s="76">
        <f>Unidades!R55</f>
        <v>708.38</v>
      </c>
      <c r="E63" s="94" t="s">
        <v>627</v>
      </c>
      <c r="F63" s="94" t="s">
        <v>623</v>
      </c>
      <c r="G63" s="94" t="s">
        <v>624</v>
      </c>
      <c r="H63" s="94" t="s">
        <v>624</v>
      </c>
      <c r="I63" s="94" t="s">
        <v>631</v>
      </c>
      <c r="J63" s="95">
        <f t="shared" si="0"/>
        <v>-0.02</v>
      </c>
      <c r="K63" s="96" t="s">
        <v>639</v>
      </c>
      <c r="L63" s="69"/>
    </row>
    <row r="64" spans="1:12" x14ac:dyDescent="0.25">
      <c r="A64" s="92" t="str">
        <f>Unidades!A56</f>
        <v>C-008</v>
      </c>
      <c r="B64" s="93" t="str">
        <f>Unidades!B56</f>
        <v>T3</v>
      </c>
      <c r="C64" s="93" t="str">
        <f>Unidades!C56</f>
        <v>Fase 4</v>
      </c>
      <c r="D64" s="76">
        <f>Unidades!R56</f>
        <v>1060.3499999999999</v>
      </c>
      <c r="E64" s="94" t="s">
        <v>622</v>
      </c>
      <c r="F64" s="94" t="s">
        <v>623</v>
      </c>
      <c r="G64" s="94" t="s">
        <v>624</v>
      </c>
      <c r="H64" s="94" t="s">
        <v>630</v>
      </c>
      <c r="I64" s="94" t="s">
        <v>631</v>
      </c>
      <c r="J64" s="95">
        <f t="shared" si="0"/>
        <v>0</v>
      </c>
      <c r="K64" s="96" t="s">
        <v>639</v>
      </c>
      <c r="L64" s="69"/>
    </row>
    <row r="65" spans="1:12" x14ac:dyDescent="0.25">
      <c r="A65" s="92" t="str">
        <f>Unidades!A57</f>
        <v>C-009</v>
      </c>
      <c r="B65" s="93" t="str">
        <f>Unidades!B57</f>
        <v>T3</v>
      </c>
      <c r="C65" s="93" t="str">
        <f>Unidades!C57</f>
        <v>Fase 4</v>
      </c>
      <c r="D65" s="76">
        <f>Unidades!R57</f>
        <v>997</v>
      </c>
      <c r="E65" s="94" t="s">
        <v>622</v>
      </c>
      <c r="F65" s="94" t="s">
        <v>623</v>
      </c>
      <c r="G65" s="94" t="s">
        <v>624</v>
      </c>
      <c r="H65" s="94" t="s">
        <v>630</v>
      </c>
      <c r="I65" s="94" t="s">
        <v>625</v>
      </c>
      <c r="J65" s="95">
        <f t="shared" si="0"/>
        <v>9.9999999999999967E-3</v>
      </c>
      <c r="K65" s="96" t="s">
        <v>639</v>
      </c>
      <c r="L65" s="69"/>
    </row>
    <row r="66" spans="1:12" x14ac:dyDescent="0.25">
      <c r="A66" s="92" t="str">
        <f>Unidades!A58</f>
        <v>C-010</v>
      </c>
      <c r="B66" s="93" t="str">
        <f>Unidades!B58</f>
        <v>T3</v>
      </c>
      <c r="C66" s="93" t="str">
        <f>Unidades!C58</f>
        <v>Fase 4</v>
      </c>
      <c r="D66" s="76">
        <f>Unidades!R58</f>
        <v>1002.34</v>
      </c>
      <c r="E66" s="94" t="s">
        <v>627</v>
      </c>
      <c r="F66" s="94" t="s">
        <v>623</v>
      </c>
      <c r="G66" s="94" t="s">
        <v>624</v>
      </c>
      <c r="H66" s="94" t="s">
        <v>624</v>
      </c>
      <c r="I66" s="94" t="s">
        <v>620</v>
      </c>
      <c r="J66" s="95">
        <f t="shared" si="0"/>
        <v>0.01</v>
      </c>
      <c r="K66" s="96" t="s">
        <v>639</v>
      </c>
      <c r="L66" s="69"/>
    </row>
    <row r="67" spans="1:12" x14ac:dyDescent="0.25">
      <c r="A67" s="92" t="str">
        <f>Unidades!A59</f>
        <v>C-011</v>
      </c>
      <c r="B67" s="93" t="str">
        <f>Unidades!B59</f>
        <v>T3</v>
      </c>
      <c r="C67" s="93" t="str">
        <f>Unidades!C59</f>
        <v>Fase 4</v>
      </c>
      <c r="D67" s="76">
        <f>Unidades!R59</f>
        <v>1043.9000000000001</v>
      </c>
      <c r="E67" s="94" t="s">
        <v>622</v>
      </c>
      <c r="F67" s="94" t="s">
        <v>623</v>
      </c>
      <c r="G67" s="94" t="s">
        <v>629</v>
      </c>
      <c r="H67" s="94" t="s">
        <v>630</v>
      </c>
      <c r="I67" s="94" t="s">
        <v>620</v>
      </c>
      <c r="J67" s="95">
        <f t="shared" si="0"/>
        <v>0.01</v>
      </c>
      <c r="K67" s="96" t="s">
        <v>639</v>
      </c>
      <c r="L67" s="69"/>
    </row>
    <row r="68" spans="1:12" x14ac:dyDescent="0.25">
      <c r="A68" s="92" t="str">
        <f>Unidades!A60</f>
        <v>C-012</v>
      </c>
      <c r="B68" s="93" t="str">
        <f>Unidades!B60</f>
        <v>T3</v>
      </c>
      <c r="C68" s="93" t="str">
        <f>Unidades!C60</f>
        <v>Fase 4</v>
      </c>
      <c r="D68" s="76">
        <f>Unidades!R60</f>
        <v>1385.69</v>
      </c>
      <c r="E68" s="94" t="s">
        <v>627</v>
      </c>
      <c r="F68" s="94" t="s">
        <v>623</v>
      </c>
      <c r="G68" s="94" t="s">
        <v>629</v>
      </c>
      <c r="H68" s="94" t="s">
        <v>624</v>
      </c>
      <c r="I68" s="94" t="s">
        <v>625</v>
      </c>
      <c r="J68" s="95">
        <f t="shared" si="0"/>
        <v>-0.03</v>
      </c>
      <c r="K68" s="96" t="s">
        <v>639</v>
      </c>
      <c r="L68" s="69"/>
    </row>
    <row r="69" spans="1:12" x14ac:dyDescent="0.25">
      <c r="A69" s="92" t="str">
        <f>Unidades!A61</f>
        <v>C-013</v>
      </c>
      <c r="B69" s="93" t="str">
        <f>Unidades!B61</f>
        <v>T3</v>
      </c>
      <c r="C69" s="93" t="str">
        <f>Unidades!C61</f>
        <v>Fase 4</v>
      </c>
      <c r="D69" s="76">
        <f>Unidades!R61</f>
        <v>903.09</v>
      </c>
      <c r="E69" s="94" t="s">
        <v>622</v>
      </c>
      <c r="F69" s="94" t="s">
        <v>623</v>
      </c>
      <c r="G69" s="94" t="s">
        <v>618</v>
      </c>
      <c r="H69" s="94" t="s">
        <v>624</v>
      </c>
      <c r="I69" s="94" t="s">
        <v>620</v>
      </c>
      <c r="J69" s="95">
        <f t="shared" si="0"/>
        <v>0.05</v>
      </c>
      <c r="K69" s="96" t="s">
        <v>639</v>
      </c>
      <c r="L69" s="69"/>
    </row>
    <row r="70" spans="1:12" x14ac:dyDescent="0.25">
      <c r="A70" s="92" t="str">
        <f>Unidades!A62</f>
        <v>C-014</v>
      </c>
      <c r="B70" s="93" t="str">
        <f>Unidades!B62</f>
        <v>T3</v>
      </c>
      <c r="C70" s="93" t="str">
        <f>Unidades!C62</f>
        <v>Fase 4</v>
      </c>
      <c r="D70" s="76">
        <f>Unidades!R62</f>
        <v>847.42</v>
      </c>
      <c r="E70" s="94" t="s">
        <v>616</v>
      </c>
      <c r="F70" s="94" t="s">
        <v>623</v>
      </c>
      <c r="G70" s="94" t="s">
        <v>624</v>
      </c>
      <c r="H70" s="94" t="s">
        <v>624</v>
      </c>
      <c r="I70" s="94" t="s">
        <v>620</v>
      </c>
      <c r="J70" s="95">
        <f t="shared" si="0"/>
        <v>9.0000000000000011E-2</v>
      </c>
      <c r="K70" s="96" t="s">
        <v>639</v>
      </c>
      <c r="L70" s="69"/>
    </row>
    <row r="71" spans="1:12" x14ac:dyDescent="0.25">
      <c r="A71" s="92" t="str">
        <f>Unidades!A63</f>
        <v>C-015</v>
      </c>
      <c r="B71" s="93" t="str">
        <f>Unidades!B63</f>
        <v>T3</v>
      </c>
      <c r="C71" s="93" t="str">
        <f>Unidades!C63</f>
        <v>Fase 4</v>
      </c>
      <c r="D71" s="76">
        <f>Unidades!R63</f>
        <v>756.37</v>
      </c>
      <c r="E71" s="94" t="s">
        <v>622</v>
      </c>
      <c r="F71" s="94" t="s">
        <v>623</v>
      </c>
      <c r="G71" s="94" t="s">
        <v>618</v>
      </c>
      <c r="H71" s="94" t="s">
        <v>619</v>
      </c>
      <c r="I71" s="94" t="s">
        <v>625</v>
      </c>
      <c r="J71" s="95">
        <f t="shared" si="0"/>
        <v>0.05</v>
      </c>
      <c r="K71" s="96" t="s">
        <v>639</v>
      </c>
      <c r="L71" s="69"/>
    </row>
    <row r="72" spans="1:12" x14ac:dyDescent="0.25">
      <c r="A72" s="92" t="str">
        <f>Unidades!A64</f>
        <v>C-016</v>
      </c>
      <c r="B72" s="93" t="str">
        <f>Unidades!B64</f>
        <v>T3</v>
      </c>
      <c r="C72" s="93" t="str">
        <f>Unidades!C64</f>
        <v>Fase 4</v>
      </c>
      <c r="D72" s="76">
        <f>Unidades!R64</f>
        <v>861.39</v>
      </c>
      <c r="E72" s="94" t="s">
        <v>616</v>
      </c>
      <c r="F72" s="94" t="s">
        <v>617</v>
      </c>
      <c r="G72" s="94" t="s">
        <v>624</v>
      </c>
      <c r="H72" s="94" t="s">
        <v>624</v>
      </c>
      <c r="I72" s="94" t="s">
        <v>631</v>
      </c>
      <c r="J72" s="95">
        <f t="shared" si="0"/>
        <v>8.0000000000000016E-2</v>
      </c>
      <c r="K72" s="96" t="s">
        <v>639</v>
      </c>
      <c r="L72" s="69"/>
    </row>
    <row r="73" spans="1:12" x14ac:dyDescent="0.25">
      <c r="A73" s="92" t="str">
        <f>Unidades!A65</f>
        <v>C-017</v>
      </c>
      <c r="B73" s="93" t="str">
        <f>Unidades!B65</f>
        <v>T3</v>
      </c>
      <c r="C73" s="93" t="str">
        <f>Unidades!C65</f>
        <v>Fase 4</v>
      </c>
      <c r="D73" s="76">
        <f>Unidades!R65</f>
        <v>773.75</v>
      </c>
      <c r="E73" s="94" t="s">
        <v>622</v>
      </c>
      <c r="F73" s="94" t="s">
        <v>623</v>
      </c>
      <c r="G73" s="94" t="s">
        <v>618</v>
      </c>
      <c r="H73" s="94" t="s">
        <v>619</v>
      </c>
      <c r="I73" s="94" t="s">
        <v>620</v>
      </c>
      <c r="J73" s="95">
        <f t="shared" si="0"/>
        <v>7.0000000000000007E-2</v>
      </c>
      <c r="K73" s="96" t="s">
        <v>639</v>
      </c>
      <c r="L73" s="69"/>
    </row>
    <row r="74" spans="1:12" x14ac:dyDescent="0.25">
      <c r="A74" s="92" t="str">
        <f>Unidades!A66</f>
        <v>C-018</v>
      </c>
      <c r="B74" s="93" t="str">
        <f>Unidades!B66</f>
        <v>T3</v>
      </c>
      <c r="C74" s="93" t="str">
        <f>Unidades!C66</f>
        <v>Fase 4</v>
      </c>
      <c r="D74" s="76">
        <f>Unidades!R66</f>
        <v>932.54</v>
      </c>
      <c r="E74" s="94" t="s">
        <v>622</v>
      </c>
      <c r="F74" s="94" t="s">
        <v>623</v>
      </c>
      <c r="G74" s="94" t="s">
        <v>618</v>
      </c>
      <c r="H74" s="94" t="s">
        <v>624</v>
      </c>
      <c r="I74" s="94" t="s">
        <v>631</v>
      </c>
      <c r="J74" s="95">
        <f t="shared" si="0"/>
        <v>1.9999999999999997E-2</v>
      </c>
      <c r="K74" s="96" t="s">
        <v>639</v>
      </c>
      <c r="L74" s="69"/>
    </row>
    <row r="75" spans="1:12" x14ac:dyDescent="0.25">
      <c r="A75" s="92" t="str">
        <f>Unidades!A67</f>
        <v>C-019</v>
      </c>
      <c r="B75" s="93" t="str">
        <f>Unidades!B67</f>
        <v>T3</v>
      </c>
      <c r="C75" s="93" t="str">
        <f>Unidades!C67</f>
        <v>Fase 4</v>
      </c>
      <c r="D75" s="76">
        <f>Unidades!R67</f>
        <v>1002.2</v>
      </c>
      <c r="E75" s="94" t="s">
        <v>622</v>
      </c>
      <c r="F75" s="94" t="s">
        <v>623</v>
      </c>
      <c r="G75" s="94" t="s">
        <v>624</v>
      </c>
      <c r="H75" s="94" t="s">
        <v>624</v>
      </c>
      <c r="I75" s="94" t="s">
        <v>631</v>
      </c>
      <c r="J75" s="95">
        <f t="shared" ref="J75:J138" si="1">IFERROR(VLOOKUP(E75,$A$5:$B$7,2,0),0)+IFERROR(VLOOKUP(F75,$D$5:$E$7,2,0),0)+IFERROR(VLOOKUP(G75,$G$5:$H$7,2,0),0)+IFERROR(VLOOKUP(H75,$J$5:$K$7,2,0),0)+IFERROR(VLOOKUP(I75,$M$5:$N$7,2,0),0)</f>
        <v>9.9999999999999967E-3</v>
      </c>
      <c r="K75" s="96" t="s">
        <v>639</v>
      </c>
      <c r="L75" s="69"/>
    </row>
    <row r="76" spans="1:12" x14ac:dyDescent="0.25">
      <c r="A76" s="92" t="str">
        <f>Unidades!A68</f>
        <v>C-020</v>
      </c>
      <c r="B76" s="93" t="str">
        <f>Unidades!B68</f>
        <v>T3</v>
      </c>
      <c r="C76" s="93" t="str">
        <f>Unidades!C68</f>
        <v>Fase 4</v>
      </c>
      <c r="D76" s="76">
        <f>Unidades!R68</f>
        <v>1168.0999999999999</v>
      </c>
      <c r="E76" s="94" t="s">
        <v>622</v>
      </c>
      <c r="F76" s="94" t="s">
        <v>623</v>
      </c>
      <c r="G76" s="94" t="s">
        <v>624</v>
      </c>
      <c r="H76" s="94" t="s">
        <v>630</v>
      </c>
      <c r="I76" s="94" t="s">
        <v>625</v>
      </c>
      <c r="J76" s="95">
        <f t="shared" si="1"/>
        <v>9.9999999999999967E-3</v>
      </c>
      <c r="K76" s="96" t="s">
        <v>639</v>
      </c>
      <c r="L76" s="69"/>
    </row>
    <row r="77" spans="1:12" x14ac:dyDescent="0.25">
      <c r="A77" s="92" t="str">
        <f>Unidades!A69</f>
        <v>C-021</v>
      </c>
      <c r="B77" s="93" t="str">
        <f>Unidades!B69</f>
        <v>T3</v>
      </c>
      <c r="C77" s="93" t="str">
        <f>Unidades!C69</f>
        <v>Fase 4</v>
      </c>
      <c r="D77" s="76">
        <f>Unidades!R69</f>
        <v>980.33</v>
      </c>
      <c r="E77" s="94" t="s">
        <v>622</v>
      </c>
      <c r="F77" s="94" t="s">
        <v>617</v>
      </c>
      <c r="G77" s="94" t="s">
        <v>629</v>
      </c>
      <c r="H77" s="94" t="s">
        <v>624</v>
      </c>
      <c r="I77" s="94" t="s">
        <v>631</v>
      </c>
      <c r="J77" s="95">
        <f t="shared" si="1"/>
        <v>1.0000000000000004E-2</v>
      </c>
      <c r="K77" s="96" t="s">
        <v>639</v>
      </c>
      <c r="L77" s="69"/>
    </row>
    <row r="78" spans="1:12" x14ac:dyDescent="0.25">
      <c r="A78" s="92" t="str">
        <f>Unidades!A70</f>
        <v>C-022</v>
      </c>
      <c r="B78" s="93" t="str">
        <f>Unidades!B70</f>
        <v>T3</v>
      </c>
      <c r="C78" s="93" t="str">
        <f>Unidades!C70</f>
        <v>Fase 4</v>
      </c>
      <c r="D78" s="76">
        <f>Unidades!R70</f>
        <v>987.88</v>
      </c>
      <c r="E78" s="94" t="s">
        <v>622</v>
      </c>
      <c r="F78" s="94" t="s">
        <v>623</v>
      </c>
      <c r="G78" s="94" t="s">
        <v>629</v>
      </c>
      <c r="H78" s="94" t="s">
        <v>630</v>
      </c>
      <c r="I78" s="94" t="s">
        <v>625</v>
      </c>
      <c r="J78" s="95">
        <f t="shared" si="1"/>
        <v>-0.01</v>
      </c>
      <c r="K78" s="96" t="s">
        <v>639</v>
      </c>
      <c r="L78" s="69"/>
    </row>
    <row r="79" spans="1:12" x14ac:dyDescent="0.25">
      <c r="A79" s="92" t="str">
        <f>Unidades!A71</f>
        <v>C-023</v>
      </c>
      <c r="B79" s="93" t="str">
        <f>Unidades!B71</f>
        <v>T3</v>
      </c>
      <c r="C79" s="93" t="str">
        <f>Unidades!C71</f>
        <v>Fase 4</v>
      </c>
      <c r="D79" s="76">
        <f>Unidades!R71</f>
        <v>1029.56</v>
      </c>
      <c r="E79" s="94" t="s">
        <v>627</v>
      </c>
      <c r="F79" s="94" t="s">
        <v>628</v>
      </c>
      <c r="G79" s="94" t="s">
        <v>618</v>
      </c>
      <c r="H79" s="94" t="s">
        <v>630</v>
      </c>
      <c r="I79" s="94" t="s">
        <v>625</v>
      </c>
      <c r="J79" s="95">
        <f t="shared" si="1"/>
        <v>-0.03</v>
      </c>
      <c r="K79" s="96" t="s">
        <v>639</v>
      </c>
      <c r="L79" s="69"/>
    </row>
    <row r="80" spans="1:12" x14ac:dyDescent="0.25">
      <c r="A80" s="92" t="str">
        <f>Unidades!A72</f>
        <v>C-024</v>
      </c>
      <c r="B80" s="93" t="str">
        <f>Unidades!B72</f>
        <v>T3</v>
      </c>
      <c r="C80" s="93" t="str">
        <f>Unidades!C72</f>
        <v>Fase 4</v>
      </c>
      <c r="D80" s="76">
        <f>Unidades!R72</f>
        <v>981.47</v>
      </c>
      <c r="E80" s="94" t="s">
        <v>616</v>
      </c>
      <c r="F80" s="94" t="s">
        <v>623</v>
      </c>
      <c r="G80" s="94" t="s">
        <v>624</v>
      </c>
      <c r="H80" s="94" t="s">
        <v>624</v>
      </c>
      <c r="I80" s="94" t="s">
        <v>625</v>
      </c>
      <c r="J80" s="95">
        <f t="shared" si="1"/>
        <v>7.0000000000000007E-2</v>
      </c>
      <c r="K80" s="96" t="s">
        <v>639</v>
      </c>
      <c r="L80" s="69"/>
    </row>
    <row r="81" spans="1:12" x14ac:dyDescent="0.25">
      <c r="A81" s="92" t="str">
        <f>Unidades!A73</f>
        <v>D-001</v>
      </c>
      <c r="B81" s="93" t="str">
        <f>Unidades!B73</f>
        <v>T4</v>
      </c>
      <c r="C81" s="93" t="str">
        <f>Unidades!C73</f>
        <v>Fase 3</v>
      </c>
      <c r="D81" s="76">
        <f>Unidades!R73</f>
        <v>690.73</v>
      </c>
      <c r="E81" s="94" t="s">
        <v>627</v>
      </c>
      <c r="F81" s="94" t="s">
        <v>623</v>
      </c>
      <c r="G81" s="94" t="s">
        <v>618</v>
      </c>
      <c r="H81" s="94" t="s">
        <v>624</v>
      </c>
      <c r="I81" s="94" t="s">
        <v>620</v>
      </c>
      <c r="J81" s="95">
        <f t="shared" si="1"/>
        <v>0.02</v>
      </c>
      <c r="K81" s="96" t="s">
        <v>639</v>
      </c>
      <c r="L81" s="69"/>
    </row>
    <row r="82" spans="1:12" x14ac:dyDescent="0.25">
      <c r="A82" s="92" t="str">
        <f>Unidades!A74</f>
        <v>D-002</v>
      </c>
      <c r="B82" s="93" t="str">
        <f>Unidades!B74</f>
        <v>T4</v>
      </c>
      <c r="C82" s="93" t="str">
        <f>Unidades!C74</f>
        <v>Fase 3</v>
      </c>
      <c r="D82" s="76">
        <f>Unidades!R74</f>
        <v>653.71</v>
      </c>
      <c r="E82" s="94" t="s">
        <v>627</v>
      </c>
      <c r="F82" s="94" t="s">
        <v>628</v>
      </c>
      <c r="G82" s="94" t="s">
        <v>629</v>
      </c>
      <c r="H82" s="94" t="s">
        <v>630</v>
      </c>
      <c r="I82" s="94" t="s">
        <v>625</v>
      </c>
      <c r="J82" s="95">
        <f t="shared" si="1"/>
        <v>-6.0000000000000005E-2</v>
      </c>
      <c r="K82" s="96" t="s">
        <v>639</v>
      </c>
      <c r="L82" s="69"/>
    </row>
    <row r="83" spans="1:12" x14ac:dyDescent="0.25">
      <c r="A83" s="92" t="str">
        <f>Unidades!A75</f>
        <v>D-003</v>
      </c>
      <c r="B83" s="93" t="str">
        <f>Unidades!B75</f>
        <v>T4</v>
      </c>
      <c r="C83" s="93" t="str">
        <f>Unidades!C75</f>
        <v>Fase 3</v>
      </c>
      <c r="D83" s="76">
        <f>Unidades!R75</f>
        <v>710.08</v>
      </c>
      <c r="E83" s="94" t="s">
        <v>627</v>
      </c>
      <c r="F83" s="94" t="s">
        <v>623</v>
      </c>
      <c r="G83" s="94" t="s">
        <v>618</v>
      </c>
      <c r="H83" s="94" t="s">
        <v>624</v>
      </c>
      <c r="I83" s="94" t="s">
        <v>625</v>
      </c>
      <c r="J83" s="95">
        <f t="shared" si="1"/>
        <v>0</v>
      </c>
      <c r="K83" s="96" t="s">
        <v>639</v>
      </c>
      <c r="L83" s="69"/>
    </row>
    <row r="84" spans="1:12" x14ac:dyDescent="0.25">
      <c r="A84" s="92" t="str">
        <f>Unidades!A76</f>
        <v>D-004</v>
      </c>
      <c r="B84" s="93" t="str">
        <f>Unidades!B76</f>
        <v>T4</v>
      </c>
      <c r="C84" s="93" t="str">
        <f>Unidades!C76</f>
        <v>Fase 3</v>
      </c>
      <c r="D84" s="76">
        <f>Unidades!R76</f>
        <v>882.73</v>
      </c>
      <c r="E84" s="94" t="s">
        <v>616</v>
      </c>
      <c r="F84" s="94" t="s">
        <v>623</v>
      </c>
      <c r="G84" s="94" t="s">
        <v>629</v>
      </c>
      <c r="H84" s="94" t="s">
        <v>619</v>
      </c>
      <c r="I84" s="94" t="s">
        <v>625</v>
      </c>
      <c r="J84" s="95">
        <f t="shared" si="1"/>
        <v>7.0000000000000007E-2</v>
      </c>
      <c r="K84" s="96" t="s">
        <v>639</v>
      </c>
      <c r="L84" s="69"/>
    </row>
    <row r="85" spans="1:12" x14ac:dyDescent="0.25">
      <c r="A85" s="92" t="str">
        <f>Unidades!A77</f>
        <v>D-005</v>
      </c>
      <c r="B85" s="93" t="str">
        <f>Unidades!B77</f>
        <v>T4</v>
      </c>
      <c r="C85" s="93" t="str">
        <f>Unidades!C77</f>
        <v>Fase 3</v>
      </c>
      <c r="D85" s="76">
        <f>Unidades!R77</f>
        <v>735.36</v>
      </c>
      <c r="E85" s="94" t="s">
        <v>627</v>
      </c>
      <c r="F85" s="94" t="s">
        <v>623</v>
      </c>
      <c r="G85" s="94" t="s">
        <v>624</v>
      </c>
      <c r="H85" s="94" t="s">
        <v>630</v>
      </c>
      <c r="I85" s="94" t="s">
        <v>625</v>
      </c>
      <c r="J85" s="95">
        <f t="shared" si="1"/>
        <v>-0.02</v>
      </c>
      <c r="K85" s="96" t="s">
        <v>639</v>
      </c>
      <c r="L85" s="69"/>
    </row>
    <row r="86" spans="1:12" x14ac:dyDescent="0.25">
      <c r="A86" s="92" t="str">
        <f>Unidades!A78</f>
        <v>D-006</v>
      </c>
      <c r="B86" s="93" t="str">
        <f>Unidades!B78</f>
        <v>T4</v>
      </c>
      <c r="C86" s="93" t="str">
        <f>Unidades!C78</f>
        <v>Fase 3</v>
      </c>
      <c r="D86" s="76">
        <f>Unidades!R78</f>
        <v>777.66</v>
      </c>
      <c r="E86" s="94" t="s">
        <v>627</v>
      </c>
      <c r="F86" s="94" t="s">
        <v>623</v>
      </c>
      <c r="G86" s="94" t="s">
        <v>624</v>
      </c>
      <c r="H86" s="94" t="s">
        <v>619</v>
      </c>
      <c r="I86" s="94" t="s">
        <v>625</v>
      </c>
      <c r="J86" s="95">
        <f t="shared" si="1"/>
        <v>0.01</v>
      </c>
      <c r="K86" s="96" t="s">
        <v>639</v>
      </c>
      <c r="L86" s="69"/>
    </row>
    <row r="87" spans="1:12" x14ac:dyDescent="0.25">
      <c r="A87" s="92" t="str">
        <f>Unidades!A79</f>
        <v>D-007</v>
      </c>
      <c r="B87" s="93" t="str">
        <f>Unidades!B79</f>
        <v>T4</v>
      </c>
      <c r="C87" s="93" t="str">
        <f>Unidades!C79</f>
        <v>Fase 3</v>
      </c>
      <c r="D87" s="76">
        <f>Unidades!R79</f>
        <v>800.65</v>
      </c>
      <c r="E87" s="94" t="s">
        <v>616</v>
      </c>
      <c r="F87" s="94" t="s">
        <v>623</v>
      </c>
      <c r="G87" s="94" t="s">
        <v>618</v>
      </c>
      <c r="H87" s="94" t="s">
        <v>624</v>
      </c>
      <c r="I87" s="94" t="s">
        <v>620</v>
      </c>
      <c r="J87" s="95">
        <f t="shared" si="1"/>
        <v>0.1</v>
      </c>
      <c r="K87" s="96" t="s">
        <v>639</v>
      </c>
      <c r="L87" s="69"/>
    </row>
    <row r="88" spans="1:12" x14ac:dyDescent="0.25">
      <c r="A88" s="92" t="str">
        <f>Unidades!A80</f>
        <v>D-008</v>
      </c>
      <c r="B88" s="93" t="str">
        <f>Unidades!B80</f>
        <v>T4</v>
      </c>
      <c r="C88" s="93" t="str">
        <f>Unidades!C80</f>
        <v>Fase 3</v>
      </c>
      <c r="D88" s="76">
        <f>Unidades!R80</f>
        <v>815.15</v>
      </c>
      <c r="E88" s="94" t="s">
        <v>622</v>
      </c>
      <c r="F88" s="94" t="s">
        <v>623</v>
      </c>
      <c r="G88" s="94" t="s">
        <v>618</v>
      </c>
      <c r="H88" s="94" t="s">
        <v>624</v>
      </c>
      <c r="I88" s="94" t="s">
        <v>625</v>
      </c>
      <c r="J88" s="95">
        <f t="shared" si="1"/>
        <v>0.03</v>
      </c>
      <c r="K88" s="96" t="s">
        <v>639</v>
      </c>
      <c r="L88" s="69"/>
    </row>
    <row r="89" spans="1:12" x14ac:dyDescent="0.25">
      <c r="A89" s="92" t="str">
        <f>Unidades!A81</f>
        <v>D-009</v>
      </c>
      <c r="B89" s="93" t="str">
        <f>Unidades!B81</f>
        <v>T4</v>
      </c>
      <c r="C89" s="93" t="str">
        <f>Unidades!C81</f>
        <v>Fase 3</v>
      </c>
      <c r="D89" s="76">
        <f>Unidades!R81</f>
        <v>843.39</v>
      </c>
      <c r="E89" s="94" t="s">
        <v>622</v>
      </c>
      <c r="F89" s="94" t="s">
        <v>628</v>
      </c>
      <c r="G89" s="94" t="s">
        <v>618</v>
      </c>
      <c r="H89" s="94" t="s">
        <v>624</v>
      </c>
      <c r="I89" s="94" t="s">
        <v>620</v>
      </c>
      <c r="J89" s="95">
        <f t="shared" si="1"/>
        <v>0.03</v>
      </c>
      <c r="K89" s="96" t="s">
        <v>639</v>
      </c>
      <c r="L89" s="69"/>
    </row>
    <row r="90" spans="1:12" x14ac:dyDescent="0.25">
      <c r="A90" s="92" t="str">
        <f>Unidades!A82</f>
        <v>D-010</v>
      </c>
      <c r="B90" s="93" t="str">
        <f>Unidades!B82</f>
        <v>T4</v>
      </c>
      <c r="C90" s="93" t="str">
        <f>Unidades!C82</f>
        <v>Fase 3</v>
      </c>
      <c r="D90" s="76">
        <f>Unidades!R82</f>
        <v>700.62</v>
      </c>
      <c r="E90" s="94" t="s">
        <v>622</v>
      </c>
      <c r="F90" s="94" t="s">
        <v>623</v>
      </c>
      <c r="G90" s="94" t="s">
        <v>624</v>
      </c>
      <c r="H90" s="94" t="s">
        <v>630</v>
      </c>
      <c r="I90" s="94" t="s">
        <v>631</v>
      </c>
      <c r="J90" s="95">
        <f t="shared" si="1"/>
        <v>0</v>
      </c>
      <c r="K90" s="96" t="s">
        <v>639</v>
      </c>
      <c r="L90" s="69"/>
    </row>
    <row r="91" spans="1:12" x14ac:dyDescent="0.25">
      <c r="A91" s="92" t="str">
        <f>Unidades!A83</f>
        <v>D-011</v>
      </c>
      <c r="B91" s="93" t="str">
        <f>Unidades!B83</f>
        <v>T4</v>
      </c>
      <c r="C91" s="93" t="str">
        <f>Unidades!C83</f>
        <v>Fase 3</v>
      </c>
      <c r="D91" s="76">
        <f>Unidades!R83</f>
        <v>889.87</v>
      </c>
      <c r="E91" s="94" t="s">
        <v>627</v>
      </c>
      <c r="F91" s="94" t="s">
        <v>628</v>
      </c>
      <c r="G91" s="94" t="s">
        <v>618</v>
      </c>
      <c r="H91" s="94" t="s">
        <v>624</v>
      </c>
      <c r="I91" s="94" t="s">
        <v>620</v>
      </c>
      <c r="J91" s="95">
        <f t="shared" si="1"/>
        <v>0</v>
      </c>
      <c r="K91" s="96" t="s">
        <v>639</v>
      </c>
      <c r="L91" s="69"/>
    </row>
    <row r="92" spans="1:12" x14ac:dyDescent="0.25">
      <c r="A92" s="92" t="str">
        <f>Unidades!A84</f>
        <v>D-012</v>
      </c>
      <c r="B92" s="93" t="str">
        <f>Unidades!B84</f>
        <v>T4</v>
      </c>
      <c r="C92" s="93" t="str">
        <f>Unidades!C84</f>
        <v>Fase 3</v>
      </c>
      <c r="D92" s="76">
        <f>Unidades!R84</f>
        <v>1054.18</v>
      </c>
      <c r="E92" s="94" t="s">
        <v>622</v>
      </c>
      <c r="F92" s="94" t="s">
        <v>623</v>
      </c>
      <c r="G92" s="94" t="s">
        <v>629</v>
      </c>
      <c r="H92" s="94" t="s">
        <v>624</v>
      </c>
      <c r="I92" s="94" t="s">
        <v>631</v>
      </c>
      <c r="J92" s="95">
        <f t="shared" si="1"/>
        <v>-0.01</v>
      </c>
      <c r="K92" s="96" t="s">
        <v>639</v>
      </c>
      <c r="L92" s="69"/>
    </row>
    <row r="93" spans="1:12" x14ac:dyDescent="0.25">
      <c r="A93" s="92" t="str">
        <f>Unidades!A85</f>
        <v>D-013</v>
      </c>
      <c r="B93" s="93" t="str">
        <f>Unidades!B85</f>
        <v>T4</v>
      </c>
      <c r="C93" s="93" t="str">
        <f>Unidades!C85</f>
        <v>Fase 3</v>
      </c>
      <c r="D93" s="76">
        <f>Unidades!R85</f>
        <v>776.08</v>
      </c>
      <c r="E93" s="94" t="s">
        <v>622</v>
      </c>
      <c r="F93" s="94" t="s">
        <v>617</v>
      </c>
      <c r="G93" s="94" t="s">
        <v>618</v>
      </c>
      <c r="H93" s="94" t="s">
        <v>624</v>
      </c>
      <c r="I93" s="94" t="s">
        <v>625</v>
      </c>
      <c r="J93" s="95">
        <f t="shared" si="1"/>
        <v>0.05</v>
      </c>
      <c r="K93" s="96" t="s">
        <v>639</v>
      </c>
      <c r="L93" s="69"/>
    </row>
    <row r="94" spans="1:12" x14ac:dyDescent="0.25">
      <c r="A94" s="92" t="str">
        <f>Unidades!A86</f>
        <v>D-014</v>
      </c>
      <c r="B94" s="93" t="str">
        <f>Unidades!B86</f>
        <v>T4</v>
      </c>
      <c r="C94" s="93" t="str">
        <f>Unidades!C86</f>
        <v>Fase 3</v>
      </c>
      <c r="D94" s="76">
        <f>Unidades!R86</f>
        <v>790.16</v>
      </c>
      <c r="E94" s="94" t="s">
        <v>616</v>
      </c>
      <c r="F94" s="94" t="s">
        <v>623</v>
      </c>
      <c r="G94" s="94" t="s">
        <v>618</v>
      </c>
      <c r="H94" s="94" t="s">
        <v>630</v>
      </c>
      <c r="I94" s="94" t="s">
        <v>625</v>
      </c>
      <c r="J94" s="95">
        <f t="shared" si="1"/>
        <v>7.0000000000000007E-2</v>
      </c>
      <c r="K94" s="96" t="s">
        <v>639</v>
      </c>
      <c r="L94" s="69"/>
    </row>
    <row r="95" spans="1:12" x14ac:dyDescent="0.25">
      <c r="A95" s="92" t="str">
        <f>Unidades!A87</f>
        <v>D-015</v>
      </c>
      <c r="B95" s="93" t="str">
        <f>Unidades!B87</f>
        <v>T4</v>
      </c>
      <c r="C95" s="93" t="str">
        <f>Unidades!C87</f>
        <v>Fase 3</v>
      </c>
      <c r="D95" s="76">
        <f>Unidades!R87</f>
        <v>834.48</v>
      </c>
      <c r="E95" s="94" t="s">
        <v>627</v>
      </c>
      <c r="F95" s="94" t="s">
        <v>623</v>
      </c>
      <c r="G95" s="94" t="s">
        <v>618</v>
      </c>
      <c r="H95" s="94" t="s">
        <v>624</v>
      </c>
      <c r="I95" s="94" t="s">
        <v>625</v>
      </c>
      <c r="J95" s="95">
        <f t="shared" si="1"/>
        <v>0</v>
      </c>
      <c r="K95" s="96" t="s">
        <v>639</v>
      </c>
      <c r="L95" s="69"/>
    </row>
    <row r="96" spans="1:12" x14ac:dyDescent="0.25">
      <c r="A96" s="92" t="str">
        <f>Unidades!A88</f>
        <v>D-016</v>
      </c>
      <c r="B96" s="93" t="str">
        <f>Unidades!B88</f>
        <v>T4</v>
      </c>
      <c r="C96" s="93" t="str">
        <f>Unidades!C88</f>
        <v>Fase 3</v>
      </c>
      <c r="D96" s="76">
        <f>Unidades!R88</f>
        <v>907.19</v>
      </c>
      <c r="E96" s="94" t="s">
        <v>622</v>
      </c>
      <c r="F96" s="94" t="s">
        <v>628</v>
      </c>
      <c r="G96" s="94" t="s">
        <v>618</v>
      </c>
      <c r="H96" s="94" t="s">
        <v>624</v>
      </c>
      <c r="I96" s="94" t="s">
        <v>625</v>
      </c>
      <c r="J96" s="95">
        <f t="shared" si="1"/>
        <v>9.9999999999999985E-3</v>
      </c>
      <c r="K96" s="96" t="s">
        <v>639</v>
      </c>
      <c r="L96" s="69"/>
    </row>
    <row r="97" spans="1:12" x14ac:dyDescent="0.25">
      <c r="A97" s="92" t="str">
        <f>Unidades!A89</f>
        <v>D-017</v>
      </c>
      <c r="B97" s="93" t="str">
        <f>Unidades!B89</f>
        <v>T4</v>
      </c>
      <c r="C97" s="93" t="str">
        <f>Unidades!C89</f>
        <v>Fase 3</v>
      </c>
      <c r="D97" s="76">
        <f>Unidades!R89</f>
        <v>637.13</v>
      </c>
      <c r="E97" s="94" t="s">
        <v>622</v>
      </c>
      <c r="F97" s="94" t="s">
        <v>623</v>
      </c>
      <c r="G97" s="94" t="s">
        <v>624</v>
      </c>
      <c r="H97" s="94" t="s">
        <v>619</v>
      </c>
      <c r="I97" s="94" t="s">
        <v>625</v>
      </c>
      <c r="J97" s="95">
        <f t="shared" si="1"/>
        <v>3.9999999999999994E-2</v>
      </c>
      <c r="K97" s="96" t="s">
        <v>639</v>
      </c>
      <c r="L97" s="69"/>
    </row>
    <row r="98" spans="1:12" x14ac:dyDescent="0.25">
      <c r="A98" s="92" t="str">
        <f>Unidades!A90</f>
        <v>D-018</v>
      </c>
      <c r="B98" s="93" t="str">
        <f>Unidades!B90</f>
        <v>T4</v>
      </c>
      <c r="C98" s="93" t="str">
        <f>Unidades!C90</f>
        <v>Fase 3</v>
      </c>
      <c r="D98" s="76">
        <f>Unidades!R90</f>
        <v>531.32000000000005</v>
      </c>
      <c r="E98" s="94" t="s">
        <v>616</v>
      </c>
      <c r="F98" s="94" t="s">
        <v>623</v>
      </c>
      <c r="G98" s="94" t="s">
        <v>618</v>
      </c>
      <c r="H98" s="94" t="s">
        <v>630</v>
      </c>
      <c r="I98" s="94" t="s">
        <v>625</v>
      </c>
      <c r="J98" s="95">
        <f t="shared" si="1"/>
        <v>7.0000000000000007E-2</v>
      </c>
      <c r="K98" s="96" t="s">
        <v>639</v>
      </c>
      <c r="L98" s="69"/>
    </row>
    <row r="99" spans="1:12" x14ac:dyDescent="0.25">
      <c r="A99" s="92" t="str">
        <f>Unidades!A91</f>
        <v>D-019</v>
      </c>
      <c r="B99" s="93" t="str">
        <f>Unidades!B91</f>
        <v>T4</v>
      </c>
      <c r="C99" s="93" t="str">
        <f>Unidades!C91</f>
        <v>Fase 3</v>
      </c>
      <c r="D99" s="76">
        <f>Unidades!R91</f>
        <v>714.85</v>
      </c>
      <c r="E99" s="94" t="s">
        <v>622</v>
      </c>
      <c r="F99" s="94" t="s">
        <v>623</v>
      </c>
      <c r="G99" s="94" t="s">
        <v>618</v>
      </c>
      <c r="H99" s="94" t="s">
        <v>630</v>
      </c>
      <c r="I99" s="94" t="s">
        <v>625</v>
      </c>
      <c r="J99" s="95">
        <f t="shared" si="1"/>
        <v>1.9999999999999997E-2</v>
      </c>
      <c r="K99" s="96" t="s">
        <v>639</v>
      </c>
      <c r="L99" s="69"/>
    </row>
    <row r="100" spans="1:12" x14ac:dyDescent="0.25">
      <c r="A100" s="92" t="str">
        <f>Unidades!A92</f>
        <v>D-020</v>
      </c>
      <c r="B100" s="93" t="str">
        <f>Unidades!B92</f>
        <v>T4</v>
      </c>
      <c r="C100" s="93" t="str">
        <f>Unidades!C92</f>
        <v>Fase 3</v>
      </c>
      <c r="D100" s="76">
        <f>Unidades!R92</f>
        <v>605.95000000000005</v>
      </c>
      <c r="E100" s="94" t="s">
        <v>627</v>
      </c>
      <c r="F100" s="94" t="s">
        <v>623</v>
      </c>
      <c r="G100" s="94" t="s">
        <v>618</v>
      </c>
      <c r="H100" s="94" t="s">
        <v>630</v>
      </c>
      <c r="I100" s="94" t="s">
        <v>625</v>
      </c>
      <c r="J100" s="95">
        <f t="shared" si="1"/>
        <v>-0.01</v>
      </c>
      <c r="K100" s="96" t="s">
        <v>639</v>
      </c>
      <c r="L100" s="69"/>
    </row>
    <row r="101" spans="1:12" x14ac:dyDescent="0.25">
      <c r="A101" s="92" t="str">
        <f>Unidades!A93</f>
        <v>D-021</v>
      </c>
      <c r="B101" s="93" t="str">
        <f>Unidades!B93</f>
        <v>T4</v>
      </c>
      <c r="C101" s="93" t="str">
        <f>Unidades!C93</f>
        <v>Fase 3</v>
      </c>
      <c r="D101" s="76">
        <f>Unidades!R93</f>
        <v>796.28</v>
      </c>
      <c r="E101" s="94" t="s">
        <v>622</v>
      </c>
      <c r="F101" s="94" t="s">
        <v>623</v>
      </c>
      <c r="G101" s="94" t="s">
        <v>624</v>
      </c>
      <c r="H101" s="94" t="s">
        <v>624</v>
      </c>
      <c r="I101" s="94" t="s">
        <v>625</v>
      </c>
      <c r="J101" s="95">
        <f t="shared" si="1"/>
        <v>1.9999999999999997E-2</v>
      </c>
      <c r="K101" s="96" t="s">
        <v>639</v>
      </c>
      <c r="L101" s="69"/>
    </row>
    <row r="102" spans="1:12" x14ac:dyDescent="0.25">
      <c r="A102" s="92" t="str">
        <f>Unidades!A94</f>
        <v>D-022</v>
      </c>
      <c r="B102" s="93" t="str">
        <f>Unidades!B94</f>
        <v>T4</v>
      </c>
      <c r="C102" s="93" t="str">
        <f>Unidades!C94</f>
        <v>Fase 3</v>
      </c>
      <c r="D102" s="76">
        <f>Unidades!R94</f>
        <v>701</v>
      </c>
      <c r="E102" s="94" t="s">
        <v>622</v>
      </c>
      <c r="F102" s="94" t="s">
        <v>623</v>
      </c>
      <c r="G102" s="94" t="s">
        <v>624</v>
      </c>
      <c r="H102" s="94" t="s">
        <v>624</v>
      </c>
      <c r="I102" s="94" t="s">
        <v>620</v>
      </c>
      <c r="J102" s="95">
        <f t="shared" si="1"/>
        <v>3.9999999999999994E-2</v>
      </c>
      <c r="K102" s="96" t="s">
        <v>639</v>
      </c>
      <c r="L102" s="69"/>
    </row>
    <row r="103" spans="1:12" x14ac:dyDescent="0.25">
      <c r="A103" s="92" t="str">
        <f>Unidades!A95</f>
        <v>D-023</v>
      </c>
      <c r="B103" s="93" t="str">
        <f>Unidades!B95</f>
        <v>T4</v>
      </c>
      <c r="C103" s="93" t="str">
        <f>Unidades!C95</f>
        <v>Fase 3</v>
      </c>
      <c r="D103" s="76">
        <f>Unidades!R95</f>
        <v>710.35</v>
      </c>
      <c r="E103" s="94" t="s">
        <v>622</v>
      </c>
      <c r="F103" s="94" t="s">
        <v>623</v>
      </c>
      <c r="G103" s="94" t="s">
        <v>618</v>
      </c>
      <c r="H103" s="94" t="s">
        <v>630</v>
      </c>
      <c r="I103" s="94" t="s">
        <v>625</v>
      </c>
      <c r="J103" s="95">
        <f t="shared" si="1"/>
        <v>1.9999999999999997E-2</v>
      </c>
      <c r="K103" s="96" t="s">
        <v>639</v>
      </c>
      <c r="L103" s="69"/>
    </row>
    <row r="104" spans="1:12" x14ac:dyDescent="0.25">
      <c r="A104" s="92" t="str">
        <f>Unidades!A96</f>
        <v>D-024</v>
      </c>
      <c r="B104" s="93" t="str">
        <f>Unidades!B96</f>
        <v>T4</v>
      </c>
      <c r="C104" s="93" t="str">
        <f>Unidades!C96</f>
        <v>Fase 3</v>
      </c>
      <c r="D104" s="76">
        <f>Unidades!R96</f>
        <v>730.49</v>
      </c>
      <c r="E104" s="94" t="s">
        <v>616</v>
      </c>
      <c r="F104" s="94" t="s">
        <v>623</v>
      </c>
      <c r="G104" s="94" t="s">
        <v>618</v>
      </c>
      <c r="H104" s="94" t="s">
        <v>630</v>
      </c>
      <c r="I104" s="94" t="s">
        <v>625</v>
      </c>
      <c r="J104" s="95">
        <f t="shared" si="1"/>
        <v>7.0000000000000007E-2</v>
      </c>
      <c r="K104" s="96" t="s">
        <v>639</v>
      </c>
      <c r="L104" s="69"/>
    </row>
    <row r="105" spans="1:12" x14ac:dyDescent="0.25">
      <c r="A105" s="92" t="str">
        <f>Unidades!A97</f>
        <v>D-025</v>
      </c>
      <c r="B105" s="93" t="str">
        <f>Unidades!B97</f>
        <v>T4</v>
      </c>
      <c r="C105" s="93" t="str">
        <f>Unidades!C97</f>
        <v>Fase 3</v>
      </c>
      <c r="D105" s="76">
        <f>Unidades!R97</f>
        <v>826.59</v>
      </c>
      <c r="E105" s="94" t="s">
        <v>616</v>
      </c>
      <c r="F105" s="94" t="s">
        <v>623</v>
      </c>
      <c r="G105" s="94" t="s">
        <v>624</v>
      </c>
      <c r="H105" s="94" t="s">
        <v>624</v>
      </c>
      <c r="I105" s="94" t="s">
        <v>620</v>
      </c>
      <c r="J105" s="95">
        <f t="shared" si="1"/>
        <v>9.0000000000000011E-2</v>
      </c>
      <c r="K105" s="96" t="s">
        <v>639</v>
      </c>
      <c r="L105" s="69"/>
    </row>
    <row r="106" spans="1:12" x14ac:dyDescent="0.25">
      <c r="A106" s="92" t="str">
        <f>Unidades!A98</f>
        <v>D-026</v>
      </c>
      <c r="B106" s="93" t="str">
        <f>Unidades!B98</f>
        <v>T4</v>
      </c>
      <c r="C106" s="93" t="str">
        <f>Unidades!C98</f>
        <v>Fase 3</v>
      </c>
      <c r="D106" s="76">
        <f>Unidades!R98</f>
        <v>535.20000000000005</v>
      </c>
      <c r="E106" s="94" t="s">
        <v>627</v>
      </c>
      <c r="F106" s="94" t="s">
        <v>623</v>
      </c>
      <c r="G106" s="94" t="s">
        <v>618</v>
      </c>
      <c r="H106" s="94" t="s">
        <v>624</v>
      </c>
      <c r="I106" s="94" t="s">
        <v>631</v>
      </c>
      <c r="J106" s="95">
        <f t="shared" si="1"/>
        <v>-0.01</v>
      </c>
      <c r="K106" s="96" t="s">
        <v>639</v>
      </c>
      <c r="L106" s="69"/>
    </row>
    <row r="107" spans="1:12" x14ac:dyDescent="0.25">
      <c r="A107" s="92" t="str">
        <f>Unidades!A99</f>
        <v>D-027</v>
      </c>
      <c r="B107" s="93" t="str">
        <f>Unidades!B99</f>
        <v>T4</v>
      </c>
      <c r="C107" s="93" t="str">
        <f>Unidades!C99</f>
        <v>Fase 3</v>
      </c>
      <c r="D107" s="76">
        <f>Unidades!R99</f>
        <v>494.22</v>
      </c>
      <c r="E107" s="94" t="s">
        <v>627</v>
      </c>
      <c r="F107" s="94" t="s">
        <v>623</v>
      </c>
      <c r="G107" s="94" t="s">
        <v>629</v>
      </c>
      <c r="H107" s="94" t="s">
        <v>624</v>
      </c>
      <c r="I107" s="94" t="s">
        <v>625</v>
      </c>
      <c r="J107" s="95">
        <f t="shared" si="1"/>
        <v>-0.03</v>
      </c>
      <c r="K107" s="96" t="s">
        <v>639</v>
      </c>
      <c r="L107" s="69"/>
    </row>
    <row r="108" spans="1:12" x14ac:dyDescent="0.25">
      <c r="A108" s="92" t="str">
        <f>Unidades!A100</f>
        <v>D-028</v>
      </c>
      <c r="B108" s="93" t="str">
        <f>Unidades!B100</f>
        <v>T4</v>
      </c>
      <c r="C108" s="93" t="str">
        <f>Unidades!C100</f>
        <v>Fase 3</v>
      </c>
      <c r="D108" s="76">
        <f>Unidades!R100</f>
        <v>713.8</v>
      </c>
      <c r="E108" s="94" t="s">
        <v>616</v>
      </c>
      <c r="F108" s="94" t="s">
        <v>623</v>
      </c>
      <c r="G108" s="94" t="s">
        <v>618</v>
      </c>
      <c r="H108" s="94" t="s">
        <v>630</v>
      </c>
      <c r="I108" s="94" t="s">
        <v>625</v>
      </c>
      <c r="J108" s="95">
        <f t="shared" si="1"/>
        <v>7.0000000000000007E-2</v>
      </c>
      <c r="K108" s="96" t="s">
        <v>639</v>
      </c>
      <c r="L108" s="69"/>
    </row>
    <row r="109" spans="1:12" x14ac:dyDescent="0.25">
      <c r="A109" s="92" t="str">
        <f>Unidades!A101</f>
        <v>D-029</v>
      </c>
      <c r="B109" s="93" t="str">
        <f>Unidades!B101</f>
        <v>T4</v>
      </c>
      <c r="C109" s="93" t="str">
        <f>Unidades!C101</f>
        <v>Fase 3</v>
      </c>
      <c r="D109" s="76">
        <f>Unidades!R101</f>
        <v>685.11</v>
      </c>
      <c r="E109" s="94" t="s">
        <v>616</v>
      </c>
      <c r="F109" s="94" t="s">
        <v>623</v>
      </c>
      <c r="G109" s="94" t="s">
        <v>618</v>
      </c>
      <c r="H109" s="94" t="s">
        <v>624</v>
      </c>
      <c r="I109" s="94" t="s">
        <v>625</v>
      </c>
      <c r="J109" s="95">
        <f t="shared" si="1"/>
        <v>0.08</v>
      </c>
      <c r="K109" s="96" t="s">
        <v>639</v>
      </c>
      <c r="L109" s="69"/>
    </row>
    <row r="110" spans="1:12" x14ac:dyDescent="0.25">
      <c r="A110" s="92" t="str">
        <f>Unidades!A102</f>
        <v>D-030</v>
      </c>
      <c r="B110" s="93" t="str">
        <f>Unidades!B102</f>
        <v>T4</v>
      </c>
      <c r="C110" s="93" t="str">
        <f>Unidades!C102</f>
        <v>Fase 3</v>
      </c>
      <c r="D110" s="76">
        <f>Unidades!R102</f>
        <v>637.11</v>
      </c>
      <c r="E110" s="94" t="s">
        <v>622</v>
      </c>
      <c r="F110" s="94" t="s">
        <v>623</v>
      </c>
      <c r="G110" s="94" t="s">
        <v>624</v>
      </c>
      <c r="H110" s="94" t="s">
        <v>630</v>
      </c>
      <c r="I110" s="94" t="s">
        <v>625</v>
      </c>
      <c r="J110" s="95">
        <f t="shared" si="1"/>
        <v>9.9999999999999967E-3</v>
      </c>
      <c r="K110" s="96" t="s">
        <v>639</v>
      </c>
      <c r="L110" s="69"/>
    </row>
    <row r="111" spans="1:12" x14ac:dyDescent="0.25">
      <c r="A111" s="92" t="str">
        <f>Unidades!A103</f>
        <v>D-031</v>
      </c>
      <c r="B111" s="93" t="str">
        <f>Unidades!B103</f>
        <v>T4</v>
      </c>
      <c r="C111" s="93" t="str">
        <f>Unidades!C103</f>
        <v>Fase 3</v>
      </c>
      <c r="D111" s="76">
        <f>Unidades!R103</f>
        <v>696.59</v>
      </c>
      <c r="E111" s="94" t="s">
        <v>616</v>
      </c>
      <c r="F111" s="94" t="s">
        <v>623</v>
      </c>
      <c r="G111" s="94" t="s">
        <v>618</v>
      </c>
      <c r="H111" s="94" t="s">
        <v>630</v>
      </c>
      <c r="I111" s="94" t="s">
        <v>625</v>
      </c>
      <c r="J111" s="95">
        <f t="shared" si="1"/>
        <v>7.0000000000000007E-2</v>
      </c>
      <c r="K111" s="96" t="s">
        <v>639</v>
      </c>
      <c r="L111" s="69"/>
    </row>
    <row r="112" spans="1:12" x14ac:dyDescent="0.25">
      <c r="A112" s="92" t="str">
        <f>Unidades!A104</f>
        <v>D-032</v>
      </c>
      <c r="B112" s="93" t="str">
        <f>Unidades!B104</f>
        <v>T4</v>
      </c>
      <c r="C112" s="93" t="str">
        <f>Unidades!C104</f>
        <v>Fase 3</v>
      </c>
      <c r="D112" s="76">
        <f>Unidades!R104</f>
        <v>1016.94</v>
      </c>
      <c r="E112" s="94" t="s">
        <v>616</v>
      </c>
      <c r="F112" s="94" t="s">
        <v>623</v>
      </c>
      <c r="G112" s="94" t="s">
        <v>624</v>
      </c>
      <c r="H112" s="94" t="s">
        <v>624</v>
      </c>
      <c r="I112" s="94" t="s">
        <v>625</v>
      </c>
      <c r="J112" s="95">
        <f t="shared" si="1"/>
        <v>7.0000000000000007E-2</v>
      </c>
      <c r="K112" s="96" t="s">
        <v>639</v>
      </c>
      <c r="L112" s="69"/>
    </row>
    <row r="113" spans="1:12" x14ac:dyDescent="0.25">
      <c r="A113" s="92" t="str">
        <f>Unidades!A105</f>
        <v>D-033</v>
      </c>
      <c r="B113" s="93" t="str">
        <f>Unidades!B105</f>
        <v>T4</v>
      </c>
      <c r="C113" s="93" t="str">
        <f>Unidades!C105</f>
        <v>Fase 3</v>
      </c>
      <c r="D113" s="76">
        <f>Unidades!R105</f>
        <v>793.18</v>
      </c>
      <c r="E113" s="94" t="s">
        <v>616</v>
      </c>
      <c r="F113" s="94" t="s">
        <v>623</v>
      </c>
      <c r="G113" s="94" t="s">
        <v>624</v>
      </c>
      <c r="H113" s="94" t="s">
        <v>619</v>
      </c>
      <c r="I113" s="94" t="s">
        <v>620</v>
      </c>
      <c r="J113" s="95">
        <f t="shared" si="1"/>
        <v>0.11000000000000001</v>
      </c>
      <c r="K113" s="96" t="s">
        <v>639</v>
      </c>
      <c r="L113" s="69"/>
    </row>
    <row r="114" spans="1:12" x14ac:dyDescent="0.25">
      <c r="A114" s="92" t="str">
        <f>Unidades!A106</f>
        <v>D-034</v>
      </c>
      <c r="B114" s="93" t="str">
        <f>Unidades!B106</f>
        <v>T4</v>
      </c>
      <c r="C114" s="93" t="str">
        <f>Unidades!C106</f>
        <v>Fase 3</v>
      </c>
      <c r="D114" s="76">
        <f>Unidades!R106</f>
        <v>732.55</v>
      </c>
      <c r="E114" s="94" t="s">
        <v>622</v>
      </c>
      <c r="F114" s="94" t="s">
        <v>623</v>
      </c>
      <c r="G114" s="94" t="s">
        <v>624</v>
      </c>
      <c r="H114" s="94" t="s">
        <v>624</v>
      </c>
      <c r="I114" s="94" t="s">
        <v>620</v>
      </c>
      <c r="J114" s="95">
        <f t="shared" si="1"/>
        <v>3.9999999999999994E-2</v>
      </c>
      <c r="K114" s="96" t="s">
        <v>639</v>
      </c>
      <c r="L114" s="69"/>
    </row>
    <row r="115" spans="1:12" x14ac:dyDescent="0.25">
      <c r="A115" s="92" t="str">
        <f>Unidades!A107</f>
        <v>D-035</v>
      </c>
      <c r="B115" s="93" t="str">
        <f>Unidades!B107</f>
        <v>T4</v>
      </c>
      <c r="C115" s="93" t="str">
        <f>Unidades!C107</f>
        <v>Fase 3</v>
      </c>
      <c r="D115" s="76">
        <f>Unidades!R107</f>
        <v>796.67</v>
      </c>
      <c r="E115" s="94" t="s">
        <v>622</v>
      </c>
      <c r="F115" s="94" t="s">
        <v>623</v>
      </c>
      <c r="G115" s="94" t="s">
        <v>624</v>
      </c>
      <c r="H115" s="94" t="s">
        <v>624</v>
      </c>
      <c r="I115" s="94" t="s">
        <v>625</v>
      </c>
      <c r="J115" s="95">
        <f t="shared" si="1"/>
        <v>1.9999999999999997E-2</v>
      </c>
      <c r="K115" s="96" t="s">
        <v>639</v>
      </c>
      <c r="L115" s="69"/>
    </row>
    <row r="116" spans="1:12" x14ac:dyDescent="0.25">
      <c r="A116" s="92" t="str">
        <f>Unidades!A108</f>
        <v>D-036</v>
      </c>
      <c r="B116" s="93" t="str">
        <f>Unidades!B108</f>
        <v>T4</v>
      </c>
      <c r="C116" s="93" t="str">
        <f>Unidades!C108</f>
        <v>Fase 3</v>
      </c>
      <c r="D116" s="76">
        <f>Unidades!R108</f>
        <v>645.54</v>
      </c>
      <c r="E116" s="94" t="s">
        <v>616</v>
      </c>
      <c r="F116" s="94" t="s">
        <v>623</v>
      </c>
      <c r="G116" s="94" t="s">
        <v>624</v>
      </c>
      <c r="H116" s="94" t="s">
        <v>619</v>
      </c>
      <c r="I116" s="94" t="s">
        <v>625</v>
      </c>
      <c r="J116" s="95">
        <f t="shared" si="1"/>
        <v>9.0000000000000011E-2</v>
      </c>
      <c r="K116" s="96" t="s">
        <v>639</v>
      </c>
      <c r="L116" s="69"/>
    </row>
    <row r="117" spans="1:12" x14ac:dyDescent="0.25">
      <c r="A117" s="92" t="str">
        <f>Unidades!A109</f>
        <v>D-037</v>
      </c>
      <c r="B117" s="93" t="str">
        <f>Unidades!B109</f>
        <v>T4</v>
      </c>
      <c r="C117" s="93" t="str">
        <f>Unidades!C109</f>
        <v>Fase 3</v>
      </c>
      <c r="D117" s="76">
        <f>Unidades!R109</f>
        <v>704.2</v>
      </c>
      <c r="E117" s="94" t="s">
        <v>627</v>
      </c>
      <c r="F117" s="94" t="s">
        <v>628</v>
      </c>
      <c r="G117" s="94" t="s">
        <v>629</v>
      </c>
      <c r="H117" s="94" t="s">
        <v>624</v>
      </c>
      <c r="I117" s="94" t="s">
        <v>625</v>
      </c>
      <c r="J117" s="95">
        <f t="shared" si="1"/>
        <v>-0.05</v>
      </c>
      <c r="K117" s="96" t="s">
        <v>639</v>
      </c>
      <c r="L117" s="69"/>
    </row>
    <row r="118" spans="1:12" x14ac:dyDescent="0.25">
      <c r="A118" s="92" t="str">
        <f>Unidades!A110</f>
        <v>D-038</v>
      </c>
      <c r="B118" s="93" t="str">
        <f>Unidades!B110</f>
        <v>T4</v>
      </c>
      <c r="C118" s="93" t="str">
        <f>Unidades!C110</f>
        <v>Fase 3</v>
      </c>
      <c r="D118" s="76">
        <f>Unidades!R110</f>
        <v>753.9</v>
      </c>
      <c r="E118" s="94" t="s">
        <v>622</v>
      </c>
      <c r="F118" s="94" t="s">
        <v>623</v>
      </c>
      <c r="G118" s="94" t="s">
        <v>618</v>
      </c>
      <c r="H118" s="94" t="s">
        <v>630</v>
      </c>
      <c r="I118" s="94" t="s">
        <v>625</v>
      </c>
      <c r="J118" s="95">
        <f t="shared" si="1"/>
        <v>1.9999999999999997E-2</v>
      </c>
      <c r="K118" s="96" t="s">
        <v>639</v>
      </c>
      <c r="L118" s="69"/>
    </row>
    <row r="119" spans="1:12" x14ac:dyDescent="0.25">
      <c r="A119" s="92" t="str">
        <f>Unidades!A111</f>
        <v>D-039</v>
      </c>
      <c r="B119" s="93" t="str">
        <f>Unidades!B111</f>
        <v>T4</v>
      </c>
      <c r="C119" s="93" t="str">
        <f>Unidades!C111</f>
        <v>Fase 3</v>
      </c>
      <c r="D119" s="76">
        <f>Unidades!R111</f>
        <v>957.95</v>
      </c>
      <c r="E119" s="94" t="s">
        <v>616</v>
      </c>
      <c r="F119" s="94" t="s">
        <v>623</v>
      </c>
      <c r="G119" s="94" t="s">
        <v>618</v>
      </c>
      <c r="H119" s="94" t="s">
        <v>630</v>
      </c>
      <c r="I119" s="94" t="s">
        <v>625</v>
      </c>
      <c r="J119" s="95">
        <f t="shared" si="1"/>
        <v>7.0000000000000007E-2</v>
      </c>
      <c r="K119" s="96" t="s">
        <v>639</v>
      </c>
      <c r="L119" s="69"/>
    </row>
    <row r="120" spans="1:12" x14ac:dyDescent="0.25">
      <c r="A120" s="92" t="str">
        <f>Unidades!A112</f>
        <v>D-040</v>
      </c>
      <c r="B120" s="93" t="str">
        <f>Unidades!B112</f>
        <v>T4</v>
      </c>
      <c r="C120" s="93" t="str">
        <f>Unidades!C112</f>
        <v>Fase 3</v>
      </c>
      <c r="D120" s="76">
        <f>Unidades!R112</f>
        <v>646.22</v>
      </c>
      <c r="E120" s="94" t="s">
        <v>627</v>
      </c>
      <c r="F120" s="94" t="s">
        <v>623</v>
      </c>
      <c r="G120" s="94" t="s">
        <v>618</v>
      </c>
      <c r="H120" s="94" t="s">
        <v>630</v>
      </c>
      <c r="I120" s="94" t="s">
        <v>625</v>
      </c>
      <c r="J120" s="95">
        <f t="shared" si="1"/>
        <v>-0.01</v>
      </c>
      <c r="K120" s="96" t="s">
        <v>639</v>
      </c>
      <c r="L120" s="69"/>
    </row>
    <row r="121" spans="1:12" x14ac:dyDescent="0.25">
      <c r="A121" s="92" t="str">
        <f>Unidades!A113</f>
        <v>D-041</v>
      </c>
      <c r="B121" s="93" t="str">
        <f>Unidades!B113</f>
        <v>T4</v>
      </c>
      <c r="C121" s="93" t="str">
        <f>Unidades!C113</f>
        <v>Fase 3</v>
      </c>
      <c r="D121" s="76">
        <f>Unidades!R113</f>
        <v>604.61</v>
      </c>
      <c r="E121" s="94" t="s">
        <v>616</v>
      </c>
      <c r="F121" s="94" t="s">
        <v>617</v>
      </c>
      <c r="G121" s="94" t="s">
        <v>624</v>
      </c>
      <c r="H121" s="94" t="s">
        <v>619</v>
      </c>
      <c r="I121" s="94" t="s">
        <v>625</v>
      </c>
      <c r="J121" s="95">
        <f t="shared" si="1"/>
        <v>0.11000000000000001</v>
      </c>
      <c r="K121" s="96" t="s">
        <v>639</v>
      </c>
      <c r="L121" s="69"/>
    </row>
    <row r="122" spans="1:12" x14ac:dyDescent="0.25">
      <c r="A122" s="92" t="str">
        <f>Unidades!A114</f>
        <v>D-042</v>
      </c>
      <c r="B122" s="93" t="str">
        <f>Unidades!B114</f>
        <v>T4</v>
      </c>
      <c r="C122" s="93" t="str">
        <f>Unidades!C114</f>
        <v>Fase 3</v>
      </c>
      <c r="D122" s="76">
        <f>Unidades!R114</f>
        <v>569.86</v>
      </c>
      <c r="E122" s="94" t="s">
        <v>622</v>
      </c>
      <c r="F122" s="94" t="s">
        <v>623</v>
      </c>
      <c r="G122" s="94" t="s">
        <v>624</v>
      </c>
      <c r="H122" s="94" t="s">
        <v>624</v>
      </c>
      <c r="I122" s="94" t="s">
        <v>625</v>
      </c>
      <c r="J122" s="95">
        <f t="shared" si="1"/>
        <v>1.9999999999999997E-2</v>
      </c>
      <c r="K122" s="96" t="s">
        <v>639</v>
      </c>
      <c r="L122" s="69"/>
    </row>
    <row r="123" spans="1:12" x14ac:dyDescent="0.25">
      <c r="A123" s="92" t="str">
        <f>Unidades!A115</f>
        <v>D-043</v>
      </c>
      <c r="B123" s="93" t="str">
        <f>Unidades!B115</f>
        <v>T4</v>
      </c>
      <c r="C123" s="93" t="str">
        <f>Unidades!C115</f>
        <v>Fase 3</v>
      </c>
      <c r="D123" s="76">
        <f>Unidades!R115</f>
        <v>569.03</v>
      </c>
      <c r="E123" s="94" t="s">
        <v>616</v>
      </c>
      <c r="F123" s="94" t="s">
        <v>623</v>
      </c>
      <c r="G123" s="94" t="s">
        <v>624</v>
      </c>
      <c r="H123" s="94" t="s">
        <v>624</v>
      </c>
      <c r="I123" s="94" t="s">
        <v>625</v>
      </c>
      <c r="J123" s="95">
        <f t="shared" si="1"/>
        <v>7.0000000000000007E-2</v>
      </c>
      <c r="K123" s="96" t="s">
        <v>639</v>
      </c>
      <c r="L123" s="69"/>
    </row>
    <row r="124" spans="1:12" x14ac:dyDescent="0.25">
      <c r="A124" s="92" t="str">
        <f>Unidades!A116</f>
        <v>D-044</v>
      </c>
      <c r="B124" s="93" t="str">
        <f>Unidades!B116</f>
        <v>T4</v>
      </c>
      <c r="C124" s="93" t="str">
        <f>Unidades!C116</f>
        <v>Fase 3</v>
      </c>
      <c r="D124" s="76">
        <f>Unidades!R116</f>
        <v>696.56</v>
      </c>
      <c r="E124" s="94" t="s">
        <v>622</v>
      </c>
      <c r="F124" s="94" t="s">
        <v>623</v>
      </c>
      <c r="G124" s="94" t="s">
        <v>629</v>
      </c>
      <c r="H124" s="94" t="s">
        <v>630</v>
      </c>
      <c r="I124" s="94" t="s">
        <v>620</v>
      </c>
      <c r="J124" s="95">
        <f t="shared" si="1"/>
        <v>0.01</v>
      </c>
      <c r="K124" s="96" t="s">
        <v>639</v>
      </c>
      <c r="L124" s="69"/>
    </row>
    <row r="125" spans="1:12" x14ac:dyDescent="0.25">
      <c r="A125" s="92" t="str">
        <f>Unidades!A117</f>
        <v>D-045</v>
      </c>
      <c r="B125" s="93" t="str">
        <f>Unidades!B117</f>
        <v>T4</v>
      </c>
      <c r="C125" s="93" t="str">
        <f>Unidades!C117</f>
        <v>Fase 3</v>
      </c>
      <c r="D125" s="76">
        <f>Unidades!R117</f>
        <v>568.07000000000005</v>
      </c>
      <c r="E125" s="94" t="s">
        <v>622</v>
      </c>
      <c r="F125" s="94" t="s">
        <v>628</v>
      </c>
      <c r="G125" s="94" t="s">
        <v>629</v>
      </c>
      <c r="H125" s="94" t="s">
        <v>624</v>
      </c>
      <c r="I125" s="94" t="s">
        <v>625</v>
      </c>
      <c r="J125" s="95">
        <f t="shared" si="1"/>
        <v>-0.02</v>
      </c>
      <c r="K125" s="96" t="s">
        <v>639</v>
      </c>
      <c r="L125" s="69"/>
    </row>
    <row r="126" spans="1:12" x14ac:dyDescent="0.25">
      <c r="A126" s="92" t="str">
        <f>Unidades!A118</f>
        <v>D-046</v>
      </c>
      <c r="B126" s="93" t="str">
        <f>Unidades!B118</f>
        <v>T4</v>
      </c>
      <c r="C126" s="93" t="str">
        <f>Unidades!C118</f>
        <v>Fase 3</v>
      </c>
      <c r="D126" s="76">
        <f>Unidades!R118</f>
        <v>694.45</v>
      </c>
      <c r="E126" s="94" t="s">
        <v>616</v>
      </c>
      <c r="F126" s="94" t="s">
        <v>623</v>
      </c>
      <c r="G126" s="94" t="s">
        <v>618</v>
      </c>
      <c r="H126" s="94" t="s">
        <v>624</v>
      </c>
      <c r="I126" s="94" t="s">
        <v>625</v>
      </c>
      <c r="J126" s="95">
        <f t="shared" si="1"/>
        <v>0.08</v>
      </c>
      <c r="K126" s="96" t="s">
        <v>639</v>
      </c>
      <c r="L126" s="69"/>
    </row>
    <row r="127" spans="1:12" x14ac:dyDescent="0.25">
      <c r="A127" s="92" t="str">
        <f>Unidades!A119</f>
        <v>D-047</v>
      </c>
      <c r="B127" s="93" t="str">
        <f>Unidades!B119</f>
        <v>T4</v>
      </c>
      <c r="C127" s="93" t="str">
        <f>Unidades!C119</f>
        <v>Fase 3</v>
      </c>
      <c r="D127" s="76">
        <f>Unidades!R119</f>
        <v>713.87</v>
      </c>
      <c r="E127" s="94" t="s">
        <v>622</v>
      </c>
      <c r="F127" s="94" t="s">
        <v>623</v>
      </c>
      <c r="G127" s="94" t="s">
        <v>624</v>
      </c>
      <c r="H127" s="94" t="s">
        <v>630</v>
      </c>
      <c r="I127" s="94" t="s">
        <v>625</v>
      </c>
      <c r="J127" s="95">
        <f t="shared" si="1"/>
        <v>9.9999999999999967E-3</v>
      </c>
      <c r="K127" s="96" t="s">
        <v>639</v>
      </c>
      <c r="L127" s="69"/>
    </row>
    <row r="128" spans="1:12" x14ac:dyDescent="0.25">
      <c r="A128" s="92" t="str">
        <f>Unidades!A120</f>
        <v>D-048</v>
      </c>
      <c r="B128" s="93" t="str">
        <f>Unidades!B120</f>
        <v>T4</v>
      </c>
      <c r="C128" s="93" t="str">
        <f>Unidades!C120</f>
        <v>Fase 3</v>
      </c>
      <c r="D128" s="76">
        <f>Unidades!R120</f>
        <v>803.22</v>
      </c>
      <c r="E128" s="94" t="s">
        <v>627</v>
      </c>
      <c r="F128" s="94" t="s">
        <v>623</v>
      </c>
      <c r="G128" s="94" t="s">
        <v>624</v>
      </c>
      <c r="H128" s="94" t="s">
        <v>630</v>
      </c>
      <c r="I128" s="94" t="s">
        <v>625</v>
      </c>
      <c r="J128" s="95">
        <f t="shared" si="1"/>
        <v>-0.02</v>
      </c>
      <c r="K128" s="96" t="s">
        <v>639</v>
      </c>
      <c r="L128" s="69"/>
    </row>
    <row r="129" spans="1:12" x14ac:dyDescent="0.25">
      <c r="A129" s="92" t="str">
        <f>Unidades!A121</f>
        <v>D-049</v>
      </c>
      <c r="B129" s="93" t="str">
        <f>Unidades!B121</f>
        <v>T4</v>
      </c>
      <c r="C129" s="93" t="str">
        <f>Unidades!C121</f>
        <v>Fase 3</v>
      </c>
      <c r="D129" s="76">
        <f>Unidades!R121</f>
        <v>724.28</v>
      </c>
      <c r="E129" s="94" t="s">
        <v>627</v>
      </c>
      <c r="F129" s="94" t="s">
        <v>623</v>
      </c>
      <c r="G129" s="94" t="s">
        <v>624</v>
      </c>
      <c r="H129" s="94" t="s">
        <v>624</v>
      </c>
      <c r="I129" s="94" t="s">
        <v>620</v>
      </c>
      <c r="J129" s="95">
        <f t="shared" si="1"/>
        <v>0.01</v>
      </c>
      <c r="K129" s="96" t="s">
        <v>639</v>
      </c>
      <c r="L129" s="69"/>
    </row>
    <row r="130" spans="1:12" x14ac:dyDescent="0.25">
      <c r="A130" s="92" t="str">
        <f>Unidades!A122</f>
        <v>D-050</v>
      </c>
      <c r="B130" s="93" t="str">
        <f>Unidades!B122</f>
        <v>T4</v>
      </c>
      <c r="C130" s="93" t="str">
        <f>Unidades!C122</f>
        <v>Fase 3</v>
      </c>
      <c r="D130" s="76">
        <f>Unidades!R122</f>
        <v>643.52</v>
      </c>
      <c r="E130" s="94" t="s">
        <v>622</v>
      </c>
      <c r="F130" s="94" t="s">
        <v>628</v>
      </c>
      <c r="G130" s="94" t="s">
        <v>624</v>
      </c>
      <c r="H130" s="94" t="s">
        <v>619</v>
      </c>
      <c r="I130" s="94" t="s">
        <v>625</v>
      </c>
      <c r="J130" s="95">
        <f t="shared" si="1"/>
        <v>1.9999999999999997E-2</v>
      </c>
      <c r="K130" s="96" t="s">
        <v>639</v>
      </c>
      <c r="L130" s="69"/>
    </row>
    <row r="131" spans="1:12" x14ac:dyDescent="0.25">
      <c r="A131" s="92" t="str">
        <f>Unidades!A123</f>
        <v>D-051</v>
      </c>
      <c r="B131" s="93" t="str">
        <f>Unidades!B123</f>
        <v>T4</v>
      </c>
      <c r="C131" s="93" t="str">
        <f>Unidades!C123</f>
        <v>Fase 3</v>
      </c>
      <c r="D131" s="76">
        <f>Unidades!R123</f>
        <v>609.52</v>
      </c>
      <c r="E131" s="94" t="s">
        <v>622</v>
      </c>
      <c r="F131" s="94" t="s">
        <v>617</v>
      </c>
      <c r="G131" s="94" t="s">
        <v>624</v>
      </c>
      <c r="H131" s="94" t="s">
        <v>619</v>
      </c>
      <c r="I131" s="94" t="s">
        <v>625</v>
      </c>
      <c r="J131" s="95">
        <f t="shared" si="1"/>
        <v>0.06</v>
      </c>
      <c r="K131" s="96" t="s">
        <v>639</v>
      </c>
      <c r="L131" s="69"/>
    </row>
    <row r="132" spans="1:12" x14ac:dyDescent="0.25">
      <c r="A132" s="92" t="str">
        <f>Unidades!A124</f>
        <v>D-052</v>
      </c>
      <c r="B132" s="93" t="str">
        <f>Unidades!B124</f>
        <v>T4</v>
      </c>
      <c r="C132" s="93" t="str">
        <f>Unidades!C124</f>
        <v>Fase 3</v>
      </c>
      <c r="D132" s="76">
        <f>Unidades!R124</f>
        <v>762.03</v>
      </c>
      <c r="E132" s="94" t="s">
        <v>627</v>
      </c>
      <c r="F132" s="94" t="s">
        <v>623</v>
      </c>
      <c r="G132" s="94" t="s">
        <v>618</v>
      </c>
      <c r="H132" s="94" t="s">
        <v>624</v>
      </c>
      <c r="I132" s="94" t="s">
        <v>625</v>
      </c>
      <c r="J132" s="95">
        <f t="shared" si="1"/>
        <v>0</v>
      </c>
      <c r="K132" s="96" t="s">
        <v>639</v>
      </c>
      <c r="L132" s="69"/>
    </row>
    <row r="133" spans="1:12" x14ac:dyDescent="0.25">
      <c r="A133" s="92" t="str">
        <f>Unidades!A125</f>
        <v>D-053</v>
      </c>
      <c r="B133" s="93" t="str">
        <f>Unidades!B125</f>
        <v>T4</v>
      </c>
      <c r="C133" s="93" t="str">
        <f>Unidades!C125</f>
        <v>Fase 3</v>
      </c>
      <c r="D133" s="76">
        <f>Unidades!R125</f>
        <v>671.04</v>
      </c>
      <c r="E133" s="94" t="s">
        <v>622</v>
      </c>
      <c r="F133" s="94" t="s">
        <v>623</v>
      </c>
      <c r="G133" s="94" t="s">
        <v>618</v>
      </c>
      <c r="H133" s="94" t="s">
        <v>619</v>
      </c>
      <c r="I133" s="94" t="s">
        <v>620</v>
      </c>
      <c r="J133" s="95">
        <f t="shared" si="1"/>
        <v>7.0000000000000007E-2</v>
      </c>
      <c r="K133" s="96" t="s">
        <v>639</v>
      </c>
      <c r="L133" s="69"/>
    </row>
    <row r="134" spans="1:12" x14ac:dyDescent="0.25">
      <c r="A134" s="92" t="str">
        <f>Unidades!A126</f>
        <v>D-054</v>
      </c>
      <c r="B134" s="93" t="str">
        <f>Unidades!B126</f>
        <v>T4</v>
      </c>
      <c r="C134" s="93" t="str">
        <f>Unidades!C126</f>
        <v>Fase 3</v>
      </c>
      <c r="D134" s="76">
        <f>Unidades!R126</f>
        <v>1289.47</v>
      </c>
      <c r="E134" s="94" t="s">
        <v>622</v>
      </c>
      <c r="F134" s="94" t="s">
        <v>623</v>
      </c>
      <c r="G134" s="94" t="s">
        <v>624</v>
      </c>
      <c r="H134" s="94" t="s">
        <v>619</v>
      </c>
      <c r="I134" s="94" t="s">
        <v>625</v>
      </c>
      <c r="J134" s="95">
        <f t="shared" si="1"/>
        <v>3.9999999999999994E-2</v>
      </c>
      <c r="K134" s="96" t="s">
        <v>639</v>
      </c>
      <c r="L134" s="69"/>
    </row>
    <row r="135" spans="1:12" x14ac:dyDescent="0.25">
      <c r="A135" s="92" t="str">
        <f>Unidades!A127</f>
        <v>D-055</v>
      </c>
      <c r="B135" s="93" t="str">
        <f>Unidades!B127</f>
        <v>T4</v>
      </c>
      <c r="C135" s="93" t="str">
        <f>Unidades!C127</f>
        <v>Fase 2</v>
      </c>
      <c r="D135" s="76">
        <f>Unidades!R127</f>
        <v>739.28</v>
      </c>
      <c r="E135" s="94" t="s">
        <v>622</v>
      </c>
      <c r="F135" s="94" t="s">
        <v>623</v>
      </c>
      <c r="G135" s="94" t="s">
        <v>624</v>
      </c>
      <c r="H135" s="94" t="s">
        <v>624</v>
      </c>
      <c r="I135" s="94" t="s">
        <v>620</v>
      </c>
      <c r="J135" s="95">
        <f t="shared" si="1"/>
        <v>3.9999999999999994E-2</v>
      </c>
      <c r="K135" s="96" t="s">
        <v>639</v>
      </c>
      <c r="L135" s="69"/>
    </row>
    <row r="136" spans="1:12" x14ac:dyDescent="0.25">
      <c r="A136" s="92" t="str">
        <f>Unidades!A128</f>
        <v>D-056</v>
      </c>
      <c r="B136" s="93" t="str">
        <f>Unidades!B128</f>
        <v>T4</v>
      </c>
      <c r="C136" s="93" t="str">
        <f>Unidades!C128</f>
        <v>Fase 2</v>
      </c>
      <c r="D136" s="76">
        <f>Unidades!R128</f>
        <v>831.24</v>
      </c>
      <c r="E136" s="94" t="s">
        <v>622</v>
      </c>
      <c r="F136" s="94" t="s">
        <v>623</v>
      </c>
      <c r="G136" s="94" t="s">
        <v>618</v>
      </c>
      <c r="H136" s="94" t="s">
        <v>619</v>
      </c>
      <c r="I136" s="94" t="s">
        <v>620</v>
      </c>
      <c r="J136" s="95">
        <f t="shared" si="1"/>
        <v>7.0000000000000007E-2</v>
      </c>
      <c r="K136" s="96" t="s">
        <v>639</v>
      </c>
      <c r="L136" s="69"/>
    </row>
    <row r="137" spans="1:12" x14ac:dyDescent="0.25">
      <c r="A137" s="92" t="str">
        <f>Unidades!A129</f>
        <v>D-057</v>
      </c>
      <c r="B137" s="93" t="str">
        <f>Unidades!B129</f>
        <v>T4</v>
      </c>
      <c r="C137" s="93" t="str">
        <f>Unidades!C129</f>
        <v>Fase 2</v>
      </c>
      <c r="D137" s="76">
        <f>Unidades!R129</f>
        <v>804.93</v>
      </c>
      <c r="E137" s="94" t="s">
        <v>622</v>
      </c>
      <c r="F137" s="94" t="s">
        <v>623</v>
      </c>
      <c r="G137" s="94" t="s">
        <v>629</v>
      </c>
      <c r="H137" s="94" t="s">
        <v>624</v>
      </c>
      <c r="I137" s="94" t="s">
        <v>625</v>
      </c>
      <c r="J137" s="95">
        <f t="shared" si="1"/>
        <v>0</v>
      </c>
      <c r="K137" s="96" t="s">
        <v>639</v>
      </c>
      <c r="L137" s="69"/>
    </row>
    <row r="138" spans="1:12" x14ac:dyDescent="0.25">
      <c r="A138" s="92" t="str">
        <f>Unidades!A130</f>
        <v>D-058</v>
      </c>
      <c r="B138" s="93" t="str">
        <f>Unidades!B130</f>
        <v>T4</v>
      </c>
      <c r="C138" s="93" t="str">
        <f>Unidades!C130</f>
        <v>Fase 2</v>
      </c>
      <c r="D138" s="76">
        <f>Unidades!R130</f>
        <v>870.24</v>
      </c>
      <c r="E138" s="94" t="s">
        <v>616</v>
      </c>
      <c r="F138" s="94" t="s">
        <v>623</v>
      </c>
      <c r="G138" s="94" t="s">
        <v>629</v>
      </c>
      <c r="H138" s="94" t="s">
        <v>624</v>
      </c>
      <c r="I138" s="94" t="s">
        <v>625</v>
      </c>
      <c r="J138" s="95">
        <f t="shared" si="1"/>
        <v>0.05</v>
      </c>
      <c r="K138" s="96" t="s">
        <v>639</v>
      </c>
      <c r="L138" s="69"/>
    </row>
    <row r="139" spans="1:12" x14ac:dyDescent="0.25">
      <c r="A139" s="92" t="str">
        <f>Unidades!A131</f>
        <v>D-059</v>
      </c>
      <c r="B139" s="93" t="str">
        <f>Unidades!B131</f>
        <v>T4</v>
      </c>
      <c r="C139" s="93" t="str">
        <f>Unidades!C131</f>
        <v>Fase 2</v>
      </c>
      <c r="D139" s="76">
        <f>Unidades!R131</f>
        <v>938.92</v>
      </c>
      <c r="E139" s="94" t="s">
        <v>627</v>
      </c>
      <c r="F139" s="94" t="s">
        <v>623</v>
      </c>
      <c r="G139" s="94" t="s">
        <v>618</v>
      </c>
      <c r="H139" s="94" t="s">
        <v>630</v>
      </c>
      <c r="I139" s="94" t="s">
        <v>625</v>
      </c>
      <c r="J139" s="95">
        <f t="shared" ref="J139:J202" si="2">IFERROR(VLOOKUP(E139,$A$5:$B$7,2,0),0)+IFERROR(VLOOKUP(F139,$D$5:$E$7,2,0),0)+IFERROR(VLOOKUP(G139,$G$5:$H$7,2,0),0)+IFERROR(VLOOKUP(H139,$J$5:$K$7,2,0),0)+IFERROR(VLOOKUP(I139,$M$5:$N$7,2,0),0)</f>
        <v>-0.01</v>
      </c>
      <c r="K139" s="96" t="s">
        <v>639</v>
      </c>
      <c r="L139" s="69"/>
    </row>
    <row r="140" spans="1:12" x14ac:dyDescent="0.25">
      <c r="A140" s="92" t="str">
        <f>Unidades!A132</f>
        <v>D-060</v>
      </c>
      <c r="B140" s="93" t="str">
        <f>Unidades!B132</f>
        <v>T4</v>
      </c>
      <c r="C140" s="93" t="str">
        <f>Unidades!C132</f>
        <v>Fase 2</v>
      </c>
      <c r="D140" s="76">
        <f>Unidades!R132</f>
        <v>731.57</v>
      </c>
      <c r="E140" s="94" t="s">
        <v>616</v>
      </c>
      <c r="F140" s="94" t="s">
        <v>628</v>
      </c>
      <c r="G140" s="94" t="s">
        <v>624</v>
      </c>
      <c r="H140" s="94" t="s">
        <v>624</v>
      </c>
      <c r="I140" s="94" t="s">
        <v>631</v>
      </c>
      <c r="J140" s="95">
        <f t="shared" si="2"/>
        <v>3.9999999999999994E-2</v>
      </c>
      <c r="K140" s="96" t="s">
        <v>639</v>
      </c>
      <c r="L140" s="69"/>
    </row>
    <row r="141" spans="1:12" x14ac:dyDescent="0.25">
      <c r="A141" s="92" t="str">
        <f>Unidades!A133</f>
        <v>D-061</v>
      </c>
      <c r="B141" s="93" t="str">
        <f>Unidades!B133</f>
        <v>T4</v>
      </c>
      <c r="C141" s="93" t="str">
        <f>Unidades!C133</f>
        <v>Fase 2</v>
      </c>
      <c r="D141" s="76">
        <f>Unidades!R133</f>
        <v>1222.1600000000001</v>
      </c>
      <c r="E141" s="94" t="s">
        <v>627</v>
      </c>
      <c r="F141" s="94" t="s">
        <v>628</v>
      </c>
      <c r="G141" s="94" t="s">
        <v>624</v>
      </c>
      <c r="H141" s="94" t="s">
        <v>624</v>
      </c>
      <c r="I141" s="94" t="s">
        <v>631</v>
      </c>
      <c r="J141" s="95">
        <f t="shared" si="2"/>
        <v>-0.04</v>
      </c>
      <c r="K141" s="96" t="s">
        <v>639</v>
      </c>
      <c r="L141" s="69"/>
    </row>
    <row r="142" spans="1:12" x14ac:dyDescent="0.25">
      <c r="A142" s="92" t="str">
        <f>Unidades!A134</f>
        <v>D-062</v>
      </c>
      <c r="B142" s="93" t="str">
        <f>Unidades!B134</f>
        <v>T4</v>
      </c>
      <c r="C142" s="93" t="str">
        <f>Unidades!C134</f>
        <v>Fase 2</v>
      </c>
      <c r="D142" s="76">
        <f>Unidades!R134</f>
        <v>810.64</v>
      </c>
      <c r="E142" s="94" t="s">
        <v>622</v>
      </c>
      <c r="F142" s="94" t="s">
        <v>617</v>
      </c>
      <c r="G142" s="94" t="s">
        <v>629</v>
      </c>
      <c r="H142" s="94" t="s">
        <v>624</v>
      </c>
      <c r="I142" s="94" t="s">
        <v>620</v>
      </c>
      <c r="J142" s="95">
        <f t="shared" si="2"/>
        <v>4.0000000000000008E-2</v>
      </c>
      <c r="K142" s="96" t="s">
        <v>639</v>
      </c>
      <c r="L142" s="69"/>
    </row>
    <row r="143" spans="1:12" x14ac:dyDescent="0.25">
      <c r="A143" s="92" t="str">
        <f>Unidades!A135</f>
        <v>D-063</v>
      </c>
      <c r="B143" s="93" t="str">
        <f>Unidades!B135</f>
        <v>T4</v>
      </c>
      <c r="C143" s="93" t="str">
        <f>Unidades!C135</f>
        <v>Fase 2</v>
      </c>
      <c r="D143" s="76">
        <f>Unidades!R135</f>
        <v>1217.45</v>
      </c>
      <c r="E143" s="94" t="s">
        <v>616</v>
      </c>
      <c r="F143" s="94" t="s">
        <v>623</v>
      </c>
      <c r="G143" s="94" t="s">
        <v>624</v>
      </c>
      <c r="H143" s="94" t="s">
        <v>619</v>
      </c>
      <c r="I143" s="94" t="s">
        <v>620</v>
      </c>
      <c r="J143" s="95">
        <f t="shared" si="2"/>
        <v>0.11000000000000001</v>
      </c>
      <c r="K143" s="96" t="s">
        <v>639</v>
      </c>
      <c r="L143" s="69"/>
    </row>
    <row r="144" spans="1:12" x14ac:dyDescent="0.25">
      <c r="A144" s="92" t="str">
        <f>Unidades!A136</f>
        <v>D-064</v>
      </c>
      <c r="B144" s="93" t="str">
        <f>Unidades!B136</f>
        <v>T4</v>
      </c>
      <c r="C144" s="93" t="str">
        <f>Unidades!C136</f>
        <v>Fase 2</v>
      </c>
      <c r="D144" s="76">
        <f>Unidades!R136</f>
        <v>1047.58</v>
      </c>
      <c r="E144" s="94" t="s">
        <v>622</v>
      </c>
      <c r="F144" s="94" t="s">
        <v>623</v>
      </c>
      <c r="G144" s="94" t="s">
        <v>629</v>
      </c>
      <c r="H144" s="94" t="s">
        <v>630</v>
      </c>
      <c r="I144" s="94" t="s">
        <v>620</v>
      </c>
      <c r="J144" s="95">
        <f t="shared" si="2"/>
        <v>0.01</v>
      </c>
      <c r="K144" s="96" t="s">
        <v>639</v>
      </c>
      <c r="L144" s="69"/>
    </row>
    <row r="145" spans="1:12" x14ac:dyDescent="0.25">
      <c r="A145" s="92" t="str">
        <f>Unidades!A137</f>
        <v>D-065</v>
      </c>
      <c r="B145" s="93" t="str">
        <f>Unidades!B137</f>
        <v>T4</v>
      </c>
      <c r="C145" s="93" t="str">
        <f>Unidades!C137</f>
        <v>Fase 2</v>
      </c>
      <c r="D145" s="76">
        <f>Unidades!R137</f>
        <v>1024.05</v>
      </c>
      <c r="E145" s="94" t="s">
        <v>627</v>
      </c>
      <c r="F145" s="94" t="s">
        <v>623</v>
      </c>
      <c r="G145" s="94" t="s">
        <v>629</v>
      </c>
      <c r="H145" s="94" t="s">
        <v>630</v>
      </c>
      <c r="I145" s="94" t="s">
        <v>625</v>
      </c>
      <c r="J145" s="95">
        <f t="shared" si="2"/>
        <v>-0.04</v>
      </c>
      <c r="K145" s="96" t="s">
        <v>639</v>
      </c>
      <c r="L145" s="69"/>
    </row>
    <row r="146" spans="1:12" x14ac:dyDescent="0.25">
      <c r="A146" s="92" t="str">
        <f>Unidades!A138</f>
        <v>D-066</v>
      </c>
      <c r="B146" s="93" t="str">
        <f>Unidades!B138</f>
        <v>T4</v>
      </c>
      <c r="C146" s="93" t="str">
        <f>Unidades!C138</f>
        <v>Fase 2</v>
      </c>
      <c r="D146" s="76">
        <f>Unidades!R138</f>
        <v>1305.94</v>
      </c>
      <c r="E146" s="94" t="s">
        <v>622</v>
      </c>
      <c r="F146" s="94" t="s">
        <v>617</v>
      </c>
      <c r="G146" s="94" t="s">
        <v>624</v>
      </c>
      <c r="H146" s="94" t="s">
        <v>630</v>
      </c>
      <c r="I146" s="94" t="s">
        <v>625</v>
      </c>
      <c r="J146" s="95">
        <f t="shared" si="2"/>
        <v>0.03</v>
      </c>
      <c r="K146" s="96" t="s">
        <v>639</v>
      </c>
      <c r="L146" s="69"/>
    </row>
    <row r="147" spans="1:12" x14ac:dyDescent="0.25">
      <c r="A147" s="92" t="str">
        <f>Unidades!A139</f>
        <v>D-067</v>
      </c>
      <c r="B147" s="93" t="str">
        <f>Unidades!B139</f>
        <v>T4</v>
      </c>
      <c r="C147" s="93" t="str">
        <f>Unidades!C139</f>
        <v>Fase 2</v>
      </c>
      <c r="D147" s="76">
        <f>Unidades!R139</f>
        <v>1329.16</v>
      </c>
      <c r="E147" s="94" t="s">
        <v>622</v>
      </c>
      <c r="F147" s="94" t="s">
        <v>617</v>
      </c>
      <c r="G147" s="94" t="s">
        <v>624</v>
      </c>
      <c r="H147" s="94" t="s">
        <v>624</v>
      </c>
      <c r="I147" s="94" t="s">
        <v>631</v>
      </c>
      <c r="J147" s="95">
        <f t="shared" si="2"/>
        <v>0.03</v>
      </c>
      <c r="K147" s="96" t="s">
        <v>639</v>
      </c>
      <c r="L147" s="69"/>
    </row>
    <row r="148" spans="1:12" x14ac:dyDescent="0.25">
      <c r="A148" s="92" t="str">
        <f>Unidades!A140</f>
        <v>D-068</v>
      </c>
      <c r="B148" s="93" t="str">
        <f>Unidades!B140</f>
        <v>T4</v>
      </c>
      <c r="C148" s="93" t="str">
        <f>Unidades!C140</f>
        <v>Fase 2</v>
      </c>
      <c r="D148" s="76">
        <f>Unidades!R140</f>
        <v>921.61</v>
      </c>
      <c r="E148" s="94" t="s">
        <v>622</v>
      </c>
      <c r="F148" s="94" t="s">
        <v>623</v>
      </c>
      <c r="G148" s="94" t="s">
        <v>624</v>
      </c>
      <c r="H148" s="94" t="s">
        <v>630</v>
      </c>
      <c r="I148" s="94" t="s">
        <v>625</v>
      </c>
      <c r="J148" s="95">
        <f t="shared" si="2"/>
        <v>9.9999999999999967E-3</v>
      </c>
      <c r="K148" s="96" t="s">
        <v>639</v>
      </c>
      <c r="L148" s="69"/>
    </row>
    <row r="149" spans="1:12" x14ac:dyDescent="0.25">
      <c r="A149" s="92" t="str">
        <f>Unidades!A141</f>
        <v>D-069</v>
      </c>
      <c r="B149" s="93" t="str">
        <f>Unidades!B141</f>
        <v>T4</v>
      </c>
      <c r="C149" s="93" t="str">
        <f>Unidades!C141</f>
        <v>Fase 2</v>
      </c>
      <c r="D149" s="76">
        <f>Unidades!R141</f>
        <v>1124.3699999999999</v>
      </c>
      <c r="E149" s="94" t="s">
        <v>622</v>
      </c>
      <c r="F149" s="94" t="s">
        <v>623</v>
      </c>
      <c r="G149" s="94" t="s">
        <v>624</v>
      </c>
      <c r="H149" s="94" t="s">
        <v>624</v>
      </c>
      <c r="I149" s="94" t="s">
        <v>625</v>
      </c>
      <c r="J149" s="95">
        <f t="shared" si="2"/>
        <v>1.9999999999999997E-2</v>
      </c>
      <c r="K149" s="96" t="s">
        <v>639</v>
      </c>
      <c r="L149" s="69"/>
    </row>
    <row r="150" spans="1:12" x14ac:dyDescent="0.25">
      <c r="A150" s="92" t="str">
        <f>Unidades!A142</f>
        <v>D-070</v>
      </c>
      <c r="B150" s="93" t="str">
        <f>Unidades!B142</f>
        <v>T4</v>
      </c>
      <c r="C150" s="93" t="str">
        <f>Unidades!C142</f>
        <v>Fase 2</v>
      </c>
      <c r="D150" s="76">
        <f>Unidades!R142</f>
        <v>848.1</v>
      </c>
      <c r="E150" s="94" t="s">
        <v>627</v>
      </c>
      <c r="F150" s="94" t="s">
        <v>623</v>
      </c>
      <c r="G150" s="94" t="s">
        <v>624</v>
      </c>
      <c r="H150" s="94" t="s">
        <v>619</v>
      </c>
      <c r="I150" s="94" t="s">
        <v>625</v>
      </c>
      <c r="J150" s="95">
        <f t="shared" si="2"/>
        <v>0.01</v>
      </c>
      <c r="K150" s="96" t="s">
        <v>639</v>
      </c>
      <c r="L150" s="69"/>
    </row>
    <row r="151" spans="1:12" x14ac:dyDescent="0.25">
      <c r="A151" s="92" t="str">
        <f>Unidades!A143</f>
        <v>D-071</v>
      </c>
      <c r="B151" s="93" t="str">
        <f>Unidades!B143</f>
        <v>T4</v>
      </c>
      <c r="C151" s="93" t="str">
        <f>Unidades!C143</f>
        <v>Fase 2</v>
      </c>
      <c r="D151" s="76">
        <f>Unidades!R143</f>
        <v>1354.81</v>
      </c>
      <c r="E151" s="94" t="s">
        <v>616</v>
      </c>
      <c r="F151" s="94" t="s">
        <v>623</v>
      </c>
      <c r="G151" s="94" t="s">
        <v>618</v>
      </c>
      <c r="H151" s="94" t="s">
        <v>630</v>
      </c>
      <c r="I151" s="94" t="s">
        <v>625</v>
      </c>
      <c r="J151" s="95">
        <f t="shared" si="2"/>
        <v>7.0000000000000007E-2</v>
      </c>
      <c r="K151" s="96" t="s">
        <v>639</v>
      </c>
      <c r="L151" s="69"/>
    </row>
    <row r="152" spans="1:12" x14ac:dyDescent="0.25">
      <c r="A152" s="92" t="str">
        <f>Unidades!A144</f>
        <v>D-072</v>
      </c>
      <c r="B152" s="93" t="str">
        <f>Unidades!B144</f>
        <v>T4</v>
      </c>
      <c r="C152" s="93" t="str">
        <f>Unidades!C144</f>
        <v>Fase 2</v>
      </c>
      <c r="D152" s="76">
        <f>Unidades!R144</f>
        <v>990.91</v>
      </c>
      <c r="E152" s="94" t="s">
        <v>622</v>
      </c>
      <c r="F152" s="94" t="s">
        <v>623</v>
      </c>
      <c r="G152" s="94" t="s">
        <v>624</v>
      </c>
      <c r="H152" s="94" t="s">
        <v>624</v>
      </c>
      <c r="I152" s="94" t="s">
        <v>625</v>
      </c>
      <c r="J152" s="95">
        <f t="shared" si="2"/>
        <v>1.9999999999999997E-2</v>
      </c>
      <c r="K152" s="96" t="s">
        <v>639</v>
      </c>
      <c r="L152" s="69"/>
    </row>
    <row r="153" spans="1:12" x14ac:dyDescent="0.25">
      <c r="A153" s="92" t="str">
        <f>Unidades!A145</f>
        <v>D-073</v>
      </c>
      <c r="B153" s="93" t="str">
        <f>Unidades!B145</f>
        <v>T4</v>
      </c>
      <c r="C153" s="93" t="str">
        <f>Unidades!C145</f>
        <v>Fase 2</v>
      </c>
      <c r="D153" s="76">
        <f>Unidades!R145</f>
        <v>999.81</v>
      </c>
      <c r="E153" s="94" t="s">
        <v>616</v>
      </c>
      <c r="F153" s="94" t="s">
        <v>623</v>
      </c>
      <c r="G153" s="94" t="s">
        <v>618</v>
      </c>
      <c r="H153" s="94" t="s">
        <v>619</v>
      </c>
      <c r="I153" s="94" t="s">
        <v>620</v>
      </c>
      <c r="J153" s="95">
        <f t="shared" si="2"/>
        <v>0.12000000000000001</v>
      </c>
      <c r="K153" s="96" t="s">
        <v>639</v>
      </c>
      <c r="L153" s="69"/>
    </row>
    <row r="154" spans="1:12" x14ac:dyDescent="0.25">
      <c r="A154" s="92" t="str">
        <f>Unidades!A146</f>
        <v>D-074</v>
      </c>
      <c r="B154" s="93" t="str">
        <f>Unidades!B146</f>
        <v>T4</v>
      </c>
      <c r="C154" s="93" t="str">
        <f>Unidades!C146</f>
        <v>Fase 2</v>
      </c>
      <c r="D154" s="76">
        <f>Unidades!R146</f>
        <v>772.56</v>
      </c>
      <c r="E154" s="94" t="s">
        <v>622</v>
      </c>
      <c r="F154" s="94" t="s">
        <v>623</v>
      </c>
      <c r="G154" s="94" t="s">
        <v>629</v>
      </c>
      <c r="H154" s="94" t="s">
        <v>624</v>
      </c>
      <c r="I154" s="94" t="s">
        <v>620</v>
      </c>
      <c r="J154" s="95">
        <f t="shared" si="2"/>
        <v>0.02</v>
      </c>
      <c r="K154" s="96" t="s">
        <v>639</v>
      </c>
      <c r="L154" s="69"/>
    </row>
    <row r="155" spans="1:12" x14ac:dyDescent="0.25">
      <c r="A155" s="92" t="str">
        <f>Unidades!A147</f>
        <v>D-075</v>
      </c>
      <c r="B155" s="93" t="str">
        <f>Unidades!B147</f>
        <v>T4</v>
      </c>
      <c r="C155" s="93" t="str">
        <f>Unidades!C147</f>
        <v>Fase 2</v>
      </c>
      <c r="D155" s="76">
        <f>Unidades!R147</f>
        <v>727.66</v>
      </c>
      <c r="E155" s="94" t="s">
        <v>622</v>
      </c>
      <c r="F155" s="94" t="s">
        <v>617</v>
      </c>
      <c r="G155" s="94" t="s">
        <v>629</v>
      </c>
      <c r="H155" s="94" t="s">
        <v>630</v>
      </c>
      <c r="I155" s="94" t="s">
        <v>625</v>
      </c>
      <c r="J155" s="95">
        <f t="shared" si="2"/>
        <v>1.0000000000000004E-2</v>
      </c>
      <c r="K155" s="96" t="s">
        <v>639</v>
      </c>
      <c r="L155" s="69"/>
    </row>
    <row r="156" spans="1:12" x14ac:dyDescent="0.25">
      <c r="A156" s="92" t="str">
        <f>Unidades!A148</f>
        <v>D-076</v>
      </c>
      <c r="B156" s="93" t="str">
        <f>Unidades!B148</f>
        <v>T4</v>
      </c>
      <c r="C156" s="93" t="str">
        <f>Unidades!C148</f>
        <v>Fase 2</v>
      </c>
      <c r="D156" s="76">
        <f>Unidades!R148</f>
        <v>839.45</v>
      </c>
      <c r="E156" s="94" t="s">
        <v>622</v>
      </c>
      <c r="F156" s="94" t="s">
        <v>623</v>
      </c>
      <c r="G156" s="94" t="s">
        <v>618</v>
      </c>
      <c r="H156" s="94" t="s">
        <v>630</v>
      </c>
      <c r="I156" s="94" t="s">
        <v>625</v>
      </c>
      <c r="J156" s="95">
        <f t="shared" si="2"/>
        <v>1.9999999999999997E-2</v>
      </c>
      <c r="K156" s="96" t="s">
        <v>639</v>
      </c>
      <c r="L156" s="69"/>
    </row>
    <row r="157" spans="1:12" x14ac:dyDescent="0.25">
      <c r="A157" s="92" t="str">
        <f>Unidades!A149</f>
        <v>D-077</v>
      </c>
      <c r="B157" s="93" t="str">
        <f>Unidades!B149</f>
        <v>T4</v>
      </c>
      <c r="C157" s="93" t="str">
        <f>Unidades!C149</f>
        <v>Fase 2</v>
      </c>
      <c r="D157" s="76">
        <f>Unidades!R149</f>
        <v>693.48</v>
      </c>
      <c r="E157" s="94" t="s">
        <v>622</v>
      </c>
      <c r="F157" s="94" t="s">
        <v>623</v>
      </c>
      <c r="G157" s="94" t="s">
        <v>629</v>
      </c>
      <c r="H157" s="94" t="s">
        <v>624</v>
      </c>
      <c r="I157" s="94" t="s">
        <v>625</v>
      </c>
      <c r="J157" s="95">
        <f t="shared" si="2"/>
        <v>0</v>
      </c>
      <c r="K157" s="96" t="s">
        <v>639</v>
      </c>
      <c r="L157" s="69"/>
    </row>
    <row r="158" spans="1:12" x14ac:dyDescent="0.25">
      <c r="A158" s="92" t="str">
        <f>Unidades!A150</f>
        <v>D-078</v>
      </c>
      <c r="B158" s="93" t="str">
        <f>Unidades!B150</f>
        <v>T4</v>
      </c>
      <c r="C158" s="93" t="str">
        <f>Unidades!C150</f>
        <v>Fase 2</v>
      </c>
      <c r="D158" s="76">
        <f>Unidades!R150</f>
        <v>863.42</v>
      </c>
      <c r="E158" s="94" t="s">
        <v>622</v>
      </c>
      <c r="F158" s="94" t="s">
        <v>623</v>
      </c>
      <c r="G158" s="94" t="s">
        <v>624</v>
      </c>
      <c r="H158" s="94" t="s">
        <v>624</v>
      </c>
      <c r="I158" s="94" t="s">
        <v>625</v>
      </c>
      <c r="J158" s="95">
        <f t="shared" si="2"/>
        <v>1.9999999999999997E-2</v>
      </c>
      <c r="K158" s="96" t="s">
        <v>639</v>
      </c>
      <c r="L158" s="69"/>
    </row>
    <row r="159" spans="1:12" x14ac:dyDescent="0.25">
      <c r="A159" s="92" t="str">
        <f>Unidades!A151</f>
        <v>D-079</v>
      </c>
      <c r="B159" s="93" t="str">
        <f>Unidades!B151</f>
        <v>T4</v>
      </c>
      <c r="C159" s="93" t="str">
        <f>Unidades!C151</f>
        <v>Fase 2</v>
      </c>
      <c r="D159" s="76">
        <f>Unidades!R151</f>
        <v>1029.3699999999999</v>
      </c>
      <c r="E159" s="94" t="s">
        <v>622</v>
      </c>
      <c r="F159" s="94" t="s">
        <v>617</v>
      </c>
      <c r="G159" s="94" t="s">
        <v>629</v>
      </c>
      <c r="H159" s="94" t="s">
        <v>624</v>
      </c>
      <c r="I159" s="94" t="s">
        <v>620</v>
      </c>
      <c r="J159" s="95">
        <f t="shared" si="2"/>
        <v>4.0000000000000008E-2</v>
      </c>
      <c r="K159" s="96" t="s">
        <v>639</v>
      </c>
      <c r="L159" s="69"/>
    </row>
    <row r="160" spans="1:12" x14ac:dyDescent="0.25">
      <c r="A160" s="92" t="str">
        <f>Unidades!A152</f>
        <v>D-080</v>
      </c>
      <c r="B160" s="93" t="str">
        <f>Unidades!B152</f>
        <v>T4</v>
      </c>
      <c r="C160" s="93" t="str">
        <f>Unidades!C152</f>
        <v>Fase 2</v>
      </c>
      <c r="D160" s="76">
        <f>Unidades!R152</f>
        <v>716.35</v>
      </c>
      <c r="E160" s="94" t="s">
        <v>622</v>
      </c>
      <c r="F160" s="94" t="s">
        <v>617</v>
      </c>
      <c r="G160" s="94" t="s">
        <v>618</v>
      </c>
      <c r="H160" s="94" t="s">
        <v>624</v>
      </c>
      <c r="I160" s="94" t="s">
        <v>625</v>
      </c>
      <c r="J160" s="95">
        <f t="shared" si="2"/>
        <v>0.05</v>
      </c>
      <c r="K160" s="96" t="s">
        <v>639</v>
      </c>
      <c r="L160" s="69"/>
    </row>
    <row r="161" spans="1:12" x14ac:dyDescent="0.25">
      <c r="A161" s="92" t="str">
        <f>Unidades!A153</f>
        <v>D-081</v>
      </c>
      <c r="B161" s="93" t="str">
        <f>Unidades!B153</f>
        <v>T4</v>
      </c>
      <c r="C161" s="93" t="str">
        <f>Unidades!C153</f>
        <v>Fase 2</v>
      </c>
      <c r="D161" s="76">
        <f>Unidades!R153</f>
        <v>699.55</v>
      </c>
      <c r="E161" s="94" t="s">
        <v>622</v>
      </c>
      <c r="F161" s="94" t="s">
        <v>623</v>
      </c>
      <c r="G161" s="94" t="s">
        <v>618</v>
      </c>
      <c r="H161" s="94" t="s">
        <v>624</v>
      </c>
      <c r="I161" s="94" t="s">
        <v>625</v>
      </c>
      <c r="J161" s="95">
        <f t="shared" si="2"/>
        <v>0.03</v>
      </c>
      <c r="K161" s="96" t="s">
        <v>639</v>
      </c>
      <c r="L161" s="69"/>
    </row>
    <row r="162" spans="1:12" x14ac:dyDescent="0.25">
      <c r="A162" s="92" t="str">
        <f>Unidades!A154</f>
        <v>D-082</v>
      </c>
      <c r="B162" s="93" t="str">
        <f>Unidades!B154</f>
        <v>T4</v>
      </c>
      <c r="C162" s="93" t="str">
        <f>Unidades!C154</f>
        <v>Fase 2</v>
      </c>
      <c r="D162" s="76">
        <f>Unidades!R154</f>
        <v>762.09</v>
      </c>
      <c r="E162" s="94" t="s">
        <v>627</v>
      </c>
      <c r="F162" s="94" t="s">
        <v>617</v>
      </c>
      <c r="G162" s="94" t="s">
        <v>618</v>
      </c>
      <c r="H162" s="94" t="s">
        <v>619</v>
      </c>
      <c r="I162" s="94" t="s">
        <v>620</v>
      </c>
      <c r="J162" s="95">
        <f t="shared" si="2"/>
        <v>0.06</v>
      </c>
      <c r="K162" s="96" t="s">
        <v>639</v>
      </c>
      <c r="L162" s="69"/>
    </row>
    <row r="163" spans="1:12" x14ac:dyDescent="0.25">
      <c r="A163" s="92" t="str">
        <f>Unidades!A155</f>
        <v>D-083</v>
      </c>
      <c r="B163" s="93" t="str">
        <f>Unidades!B155</f>
        <v>T4</v>
      </c>
      <c r="C163" s="93" t="str">
        <f>Unidades!C155</f>
        <v>Fase 2</v>
      </c>
      <c r="D163" s="76">
        <f>Unidades!R155</f>
        <v>676.39</v>
      </c>
      <c r="E163" s="94" t="s">
        <v>616</v>
      </c>
      <c r="F163" s="94" t="s">
        <v>623</v>
      </c>
      <c r="G163" s="94" t="s">
        <v>618</v>
      </c>
      <c r="H163" s="94" t="s">
        <v>619</v>
      </c>
      <c r="I163" s="94" t="s">
        <v>631</v>
      </c>
      <c r="J163" s="95">
        <f t="shared" si="2"/>
        <v>9.0000000000000011E-2</v>
      </c>
      <c r="K163" s="96" t="s">
        <v>639</v>
      </c>
      <c r="L163" s="69"/>
    </row>
    <row r="164" spans="1:12" x14ac:dyDescent="0.25">
      <c r="A164" s="92" t="str">
        <f>Unidades!A156</f>
        <v>D-084</v>
      </c>
      <c r="B164" s="93" t="str">
        <f>Unidades!B156</f>
        <v>T4</v>
      </c>
      <c r="C164" s="93" t="str">
        <f>Unidades!C156</f>
        <v>Fase 2</v>
      </c>
      <c r="D164" s="76">
        <f>Unidades!R156</f>
        <v>950.44</v>
      </c>
      <c r="E164" s="94" t="s">
        <v>622</v>
      </c>
      <c r="F164" s="94" t="s">
        <v>617</v>
      </c>
      <c r="G164" s="94" t="s">
        <v>618</v>
      </c>
      <c r="H164" s="94" t="s">
        <v>624</v>
      </c>
      <c r="I164" s="94" t="s">
        <v>625</v>
      </c>
      <c r="J164" s="95">
        <f t="shared" si="2"/>
        <v>0.05</v>
      </c>
      <c r="K164" s="96" t="s">
        <v>639</v>
      </c>
      <c r="L164" s="69"/>
    </row>
    <row r="165" spans="1:12" x14ac:dyDescent="0.25">
      <c r="A165" s="92" t="str">
        <f>Unidades!A157</f>
        <v>E-001</v>
      </c>
      <c r="B165" s="93" t="str">
        <f>Unidades!B157</f>
        <v>T5</v>
      </c>
      <c r="C165" s="93" t="str">
        <f>Unidades!C157</f>
        <v>Fase 1</v>
      </c>
      <c r="D165" s="76">
        <f>Unidades!R157</f>
        <v>526.04</v>
      </c>
      <c r="E165" s="94" t="s">
        <v>622</v>
      </c>
      <c r="F165" s="94" t="s">
        <v>628</v>
      </c>
      <c r="G165" s="94" t="s">
        <v>618</v>
      </c>
      <c r="H165" s="94" t="s">
        <v>619</v>
      </c>
      <c r="I165" s="94" t="s">
        <v>631</v>
      </c>
      <c r="J165" s="95">
        <f t="shared" si="2"/>
        <v>1.9999999999999997E-2</v>
      </c>
      <c r="K165" s="96" t="s">
        <v>639</v>
      </c>
      <c r="L165" s="69"/>
    </row>
    <row r="166" spans="1:12" x14ac:dyDescent="0.25">
      <c r="A166" s="92" t="str">
        <f>Unidades!A158</f>
        <v>E-002</v>
      </c>
      <c r="B166" s="93" t="str">
        <f>Unidades!B158</f>
        <v>T5</v>
      </c>
      <c r="C166" s="93" t="str">
        <f>Unidades!C158</f>
        <v>Fase 1</v>
      </c>
      <c r="D166" s="76">
        <f>Unidades!R158</f>
        <v>570.59</v>
      </c>
      <c r="E166" s="94" t="s">
        <v>616</v>
      </c>
      <c r="F166" s="94" t="s">
        <v>623</v>
      </c>
      <c r="G166" s="94" t="s">
        <v>629</v>
      </c>
      <c r="H166" s="94" t="s">
        <v>624</v>
      </c>
      <c r="I166" s="94" t="s">
        <v>631</v>
      </c>
      <c r="J166" s="95">
        <f t="shared" si="2"/>
        <v>0.04</v>
      </c>
      <c r="K166" s="96" t="s">
        <v>639</v>
      </c>
      <c r="L166" s="69"/>
    </row>
    <row r="167" spans="1:12" x14ac:dyDescent="0.25">
      <c r="A167" s="92" t="str">
        <f>Unidades!A159</f>
        <v>E-003</v>
      </c>
      <c r="B167" s="93" t="str">
        <f>Unidades!B159</f>
        <v>T5</v>
      </c>
      <c r="C167" s="93" t="str">
        <f>Unidades!C159</f>
        <v>Fase 1</v>
      </c>
      <c r="D167" s="76">
        <f>Unidades!R159</f>
        <v>573.53</v>
      </c>
      <c r="E167" s="94" t="s">
        <v>622</v>
      </c>
      <c r="F167" s="94" t="s">
        <v>617</v>
      </c>
      <c r="G167" s="94" t="s">
        <v>629</v>
      </c>
      <c r="H167" s="94" t="s">
        <v>630</v>
      </c>
      <c r="I167" s="94" t="s">
        <v>625</v>
      </c>
      <c r="J167" s="95">
        <f t="shared" si="2"/>
        <v>1.0000000000000004E-2</v>
      </c>
      <c r="K167" s="96" t="s">
        <v>639</v>
      </c>
      <c r="L167" s="69"/>
    </row>
    <row r="168" spans="1:12" x14ac:dyDescent="0.25">
      <c r="A168" s="92" t="str">
        <f>Unidades!A160</f>
        <v>E-004</v>
      </c>
      <c r="B168" s="93" t="str">
        <f>Unidades!B160</f>
        <v>T5</v>
      </c>
      <c r="C168" s="93" t="str">
        <f>Unidades!C160</f>
        <v>Fase 1</v>
      </c>
      <c r="D168" s="76">
        <f>Unidades!R160</f>
        <v>756.24</v>
      </c>
      <c r="E168" s="94" t="s">
        <v>627</v>
      </c>
      <c r="F168" s="94" t="s">
        <v>623</v>
      </c>
      <c r="G168" s="94" t="s">
        <v>629</v>
      </c>
      <c r="H168" s="94" t="s">
        <v>630</v>
      </c>
      <c r="I168" s="94" t="s">
        <v>631</v>
      </c>
      <c r="J168" s="95">
        <f t="shared" si="2"/>
        <v>-0.05</v>
      </c>
      <c r="K168" s="96" t="s">
        <v>639</v>
      </c>
      <c r="L168" s="69"/>
    </row>
    <row r="169" spans="1:12" x14ac:dyDescent="0.25">
      <c r="A169" s="92" t="str">
        <f>Unidades!A161</f>
        <v>E-005</v>
      </c>
      <c r="B169" s="93" t="str">
        <f>Unidades!B161</f>
        <v>T5</v>
      </c>
      <c r="C169" s="93" t="str">
        <f>Unidades!C161</f>
        <v>Fase 1</v>
      </c>
      <c r="D169" s="76">
        <f>Unidades!R161</f>
        <v>517.65</v>
      </c>
      <c r="E169" s="94" t="s">
        <v>627</v>
      </c>
      <c r="F169" s="94" t="s">
        <v>623</v>
      </c>
      <c r="G169" s="94" t="s">
        <v>629</v>
      </c>
      <c r="H169" s="94" t="s">
        <v>619</v>
      </c>
      <c r="I169" s="94" t="s">
        <v>620</v>
      </c>
      <c r="J169" s="95">
        <f t="shared" si="2"/>
        <v>1.0000000000000002E-2</v>
      </c>
      <c r="K169" s="96" t="s">
        <v>639</v>
      </c>
      <c r="L169" s="69"/>
    </row>
    <row r="170" spans="1:12" x14ac:dyDescent="0.25">
      <c r="A170" s="92" t="str">
        <f>Unidades!A162</f>
        <v>E-006</v>
      </c>
      <c r="B170" s="93" t="str">
        <f>Unidades!B162</f>
        <v>T5</v>
      </c>
      <c r="C170" s="93" t="str">
        <f>Unidades!C162</f>
        <v>Fase 1</v>
      </c>
      <c r="D170" s="76">
        <f>Unidades!R162</f>
        <v>745.89</v>
      </c>
      <c r="E170" s="94" t="s">
        <v>622</v>
      </c>
      <c r="F170" s="94" t="s">
        <v>623</v>
      </c>
      <c r="G170" s="94" t="s">
        <v>618</v>
      </c>
      <c r="H170" s="94" t="s">
        <v>624</v>
      </c>
      <c r="I170" s="94" t="s">
        <v>620</v>
      </c>
      <c r="J170" s="95">
        <f t="shared" si="2"/>
        <v>0.05</v>
      </c>
      <c r="K170" s="96" t="s">
        <v>639</v>
      </c>
      <c r="L170" s="69"/>
    </row>
    <row r="171" spans="1:12" x14ac:dyDescent="0.25">
      <c r="A171" s="92" t="str">
        <f>Unidades!A163</f>
        <v>E-007</v>
      </c>
      <c r="B171" s="93" t="str">
        <f>Unidades!B163</f>
        <v>T5</v>
      </c>
      <c r="C171" s="93" t="str">
        <f>Unidades!C163</f>
        <v>Fase 1</v>
      </c>
      <c r="D171" s="76">
        <f>Unidades!R163</f>
        <v>765.82</v>
      </c>
      <c r="E171" s="94" t="s">
        <v>627</v>
      </c>
      <c r="F171" s="94" t="s">
        <v>617</v>
      </c>
      <c r="G171" s="94" t="s">
        <v>624</v>
      </c>
      <c r="H171" s="94" t="s">
        <v>624</v>
      </c>
      <c r="I171" s="94" t="s">
        <v>625</v>
      </c>
      <c r="J171" s="95">
        <f t="shared" si="2"/>
        <v>0.01</v>
      </c>
      <c r="K171" s="96" t="s">
        <v>639</v>
      </c>
      <c r="L171" s="69"/>
    </row>
    <row r="172" spans="1:12" x14ac:dyDescent="0.25">
      <c r="A172" s="92" t="str">
        <f>Unidades!A164</f>
        <v>E-008</v>
      </c>
      <c r="B172" s="93" t="str">
        <f>Unidades!B164</f>
        <v>T5</v>
      </c>
      <c r="C172" s="93" t="str">
        <f>Unidades!C164</f>
        <v>Fase 1</v>
      </c>
      <c r="D172" s="76">
        <f>Unidades!R164</f>
        <v>648.64</v>
      </c>
      <c r="E172" s="94" t="s">
        <v>622</v>
      </c>
      <c r="F172" s="94" t="s">
        <v>623</v>
      </c>
      <c r="G172" s="94" t="s">
        <v>624</v>
      </c>
      <c r="H172" s="94" t="s">
        <v>619</v>
      </c>
      <c r="I172" s="94" t="s">
        <v>625</v>
      </c>
      <c r="J172" s="95">
        <f t="shared" si="2"/>
        <v>3.9999999999999994E-2</v>
      </c>
      <c r="K172" s="96" t="s">
        <v>639</v>
      </c>
      <c r="L172" s="69"/>
    </row>
    <row r="173" spans="1:12" x14ac:dyDescent="0.25">
      <c r="A173" s="92" t="str">
        <f>Unidades!A165</f>
        <v>E-009</v>
      </c>
      <c r="B173" s="93" t="str">
        <f>Unidades!B165</f>
        <v>T5</v>
      </c>
      <c r="C173" s="93" t="str">
        <f>Unidades!C165</f>
        <v>Fase 1</v>
      </c>
      <c r="D173" s="76">
        <f>Unidades!R165</f>
        <v>723.32</v>
      </c>
      <c r="E173" s="94" t="s">
        <v>622</v>
      </c>
      <c r="F173" s="94" t="s">
        <v>623</v>
      </c>
      <c r="G173" s="94" t="s">
        <v>618</v>
      </c>
      <c r="H173" s="94" t="s">
        <v>619</v>
      </c>
      <c r="I173" s="94" t="s">
        <v>625</v>
      </c>
      <c r="J173" s="95">
        <f t="shared" si="2"/>
        <v>0.05</v>
      </c>
      <c r="K173" s="96" t="s">
        <v>639</v>
      </c>
      <c r="L173" s="69"/>
    </row>
    <row r="174" spans="1:12" x14ac:dyDescent="0.25">
      <c r="A174" s="92" t="str">
        <f>Unidades!A166</f>
        <v>E-010</v>
      </c>
      <c r="B174" s="93" t="str">
        <f>Unidades!B166</f>
        <v>T5</v>
      </c>
      <c r="C174" s="93" t="str">
        <f>Unidades!C166</f>
        <v>Fase 1</v>
      </c>
      <c r="D174" s="76">
        <f>Unidades!R166</f>
        <v>644.47</v>
      </c>
      <c r="E174" s="94" t="s">
        <v>616</v>
      </c>
      <c r="F174" s="94" t="s">
        <v>623</v>
      </c>
      <c r="G174" s="94" t="s">
        <v>618</v>
      </c>
      <c r="H174" s="94" t="s">
        <v>619</v>
      </c>
      <c r="I174" s="94" t="s">
        <v>625</v>
      </c>
      <c r="J174" s="95">
        <f t="shared" si="2"/>
        <v>0.1</v>
      </c>
      <c r="K174" s="96" t="s">
        <v>639</v>
      </c>
      <c r="L174" s="69"/>
    </row>
    <row r="175" spans="1:12" x14ac:dyDescent="0.25">
      <c r="A175" s="92" t="str">
        <f>Unidades!A167</f>
        <v>E-011</v>
      </c>
      <c r="B175" s="93" t="str">
        <f>Unidades!B167</f>
        <v>T5</v>
      </c>
      <c r="C175" s="93" t="str">
        <f>Unidades!C167</f>
        <v>Fase 1</v>
      </c>
      <c r="D175" s="76">
        <f>Unidades!R167</f>
        <v>599.96</v>
      </c>
      <c r="E175" s="94" t="s">
        <v>622</v>
      </c>
      <c r="F175" s="94" t="s">
        <v>623</v>
      </c>
      <c r="G175" s="94" t="s">
        <v>618</v>
      </c>
      <c r="H175" s="94" t="s">
        <v>624</v>
      </c>
      <c r="I175" s="94" t="s">
        <v>620</v>
      </c>
      <c r="J175" s="95">
        <f t="shared" si="2"/>
        <v>0.05</v>
      </c>
      <c r="K175" s="96" t="s">
        <v>639</v>
      </c>
      <c r="L175" s="69"/>
    </row>
    <row r="176" spans="1:12" x14ac:dyDescent="0.25">
      <c r="A176" s="92" t="str">
        <f>Unidades!A168</f>
        <v>E-012</v>
      </c>
      <c r="B176" s="93" t="str">
        <f>Unidades!B168</f>
        <v>T5</v>
      </c>
      <c r="C176" s="93" t="str">
        <f>Unidades!C168</f>
        <v>Fase 1</v>
      </c>
      <c r="D176" s="76">
        <f>Unidades!R168</f>
        <v>634.46</v>
      </c>
      <c r="E176" s="94" t="s">
        <v>616</v>
      </c>
      <c r="F176" s="94" t="s">
        <v>623</v>
      </c>
      <c r="G176" s="94" t="s">
        <v>624</v>
      </c>
      <c r="H176" s="94" t="s">
        <v>619</v>
      </c>
      <c r="I176" s="94" t="s">
        <v>631</v>
      </c>
      <c r="J176" s="95">
        <f t="shared" si="2"/>
        <v>8.0000000000000016E-2</v>
      </c>
      <c r="K176" s="96" t="s">
        <v>639</v>
      </c>
      <c r="L176" s="69"/>
    </row>
    <row r="177" spans="1:12" x14ac:dyDescent="0.25">
      <c r="A177" s="92" t="str">
        <f>Unidades!A169</f>
        <v>E-013</v>
      </c>
      <c r="B177" s="93" t="str">
        <f>Unidades!B169</f>
        <v>T5</v>
      </c>
      <c r="C177" s="93" t="str">
        <f>Unidades!C169</f>
        <v>Fase 1</v>
      </c>
      <c r="D177" s="76">
        <f>Unidades!R169</f>
        <v>761.65</v>
      </c>
      <c r="E177" s="94" t="s">
        <v>627</v>
      </c>
      <c r="F177" s="94" t="s">
        <v>623</v>
      </c>
      <c r="G177" s="94" t="s">
        <v>629</v>
      </c>
      <c r="H177" s="94" t="s">
        <v>624</v>
      </c>
      <c r="I177" s="94" t="s">
        <v>625</v>
      </c>
      <c r="J177" s="95">
        <f t="shared" si="2"/>
        <v>-0.03</v>
      </c>
      <c r="K177" s="96" t="s">
        <v>639</v>
      </c>
      <c r="L177" s="69"/>
    </row>
    <row r="178" spans="1:12" x14ac:dyDescent="0.25">
      <c r="A178" s="92" t="str">
        <f>Unidades!A170</f>
        <v>E-014</v>
      </c>
      <c r="B178" s="93" t="str">
        <f>Unidades!B170</f>
        <v>T5</v>
      </c>
      <c r="C178" s="93" t="str">
        <f>Unidades!C170</f>
        <v>Fase 1</v>
      </c>
      <c r="D178" s="76">
        <f>Unidades!R170</f>
        <v>670.21</v>
      </c>
      <c r="E178" s="94" t="s">
        <v>622</v>
      </c>
      <c r="F178" s="94" t="s">
        <v>623</v>
      </c>
      <c r="G178" s="94" t="s">
        <v>624</v>
      </c>
      <c r="H178" s="94" t="s">
        <v>619</v>
      </c>
      <c r="I178" s="94" t="s">
        <v>620</v>
      </c>
      <c r="J178" s="95">
        <f t="shared" si="2"/>
        <v>0.06</v>
      </c>
      <c r="K178" s="96" t="s">
        <v>639</v>
      </c>
      <c r="L178" s="69"/>
    </row>
    <row r="179" spans="1:12" x14ac:dyDescent="0.25">
      <c r="A179" s="92" t="str">
        <f>Unidades!A171</f>
        <v>E-015</v>
      </c>
      <c r="B179" s="93" t="str">
        <f>Unidades!B171</f>
        <v>T5</v>
      </c>
      <c r="C179" s="93" t="str">
        <f>Unidades!C171</f>
        <v>Fase 1</v>
      </c>
      <c r="D179" s="76">
        <f>Unidades!R171</f>
        <v>656.4</v>
      </c>
      <c r="E179" s="94" t="s">
        <v>622</v>
      </c>
      <c r="F179" s="94" t="s">
        <v>628</v>
      </c>
      <c r="G179" s="94" t="s">
        <v>624</v>
      </c>
      <c r="H179" s="94" t="s">
        <v>624</v>
      </c>
      <c r="I179" s="94" t="s">
        <v>625</v>
      </c>
      <c r="J179" s="95">
        <f t="shared" si="2"/>
        <v>-1.7347234759768071E-18</v>
      </c>
      <c r="K179" s="96" t="s">
        <v>639</v>
      </c>
      <c r="L179" s="69"/>
    </row>
    <row r="180" spans="1:12" x14ac:dyDescent="0.25">
      <c r="A180" s="92" t="str">
        <f>Unidades!A172</f>
        <v>E-016</v>
      </c>
      <c r="B180" s="93" t="str">
        <f>Unidades!B172</f>
        <v>T5</v>
      </c>
      <c r="C180" s="93" t="str">
        <f>Unidades!C172</f>
        <v>Fase 1</v>
      </c>
      <c r="D180" s="76">
        <f>Unidades!R172</f>
        <v>696.65</v>
      </c>
      <c r="E180" s="94" t="s">
        <v>622</v>
      </c>
      <c r="F180" s="94" t="s">
        <v>623</v>
      </c>
      <c r="G180" s="94" t="s">
        <v>624</v>
      </c>
      <c r="H180" s="94" t="s">
        <v>624</v>
      </c>
      <c r="I180" s="94" t="s">
        <v>625</v>
      </c>
      <c r="J180" s="95">
        <f t="shared" si="2"/>
        <v>1.9999999999999997E-2</v>
      </c>
      <c r="K180" s="96" t="s">
        <v>639</v>
      </c>
      <c r="L180" s="69"/>
    </row>
    <row r="181" spans="1:12" x14ac:dyDescent="0.25">
      <c r="A181" s="92" t="str">
        <f>Unidades!A173</f>
        <v>E-017</v>
      </c>
      <c r="B181" s="93" t="str">
        <f>Unidades!B173</f>
        <v>T5</v>
      </c>
      <c r="C181" s="93" t="str">
        <f>Unidades!C173</f>
        <v>Fase 1</v>
      </c>
      <c r="D181" s="76">
        <f>Unidades!R173</f>
        <v>559.99</v>
      </c>
      <c r="E181" s="94" t="s">
        <v>616</v>
      </c>
      <c r="F181" s="94" t="s">
        <v>623</v>
      </c>
      <c r="G181" s="94" t="s">
        <v>618</v>
      </c>
      <c r="H181" s="94" t="s">
        <v>624</v>
      </c>
      <c r="I181" s="94" t="s">
        <v>625</v>
      </c>
      <c r="J181" s="95">
        <f t="shared" si="2"/>
        <v>0.08</v>
      </c>
      <c r="K181" s="96" t="s">
        <v>639</v>
      </c>
      <c r="L181" s="69"/>
    </row>
    <row r="182" spans="1:12" x14ac:dyDescent="0.25">
      <c r="A182" s="92" t="str">
        <f>Unidades!A174</f>
        <v>E-018</v>
      </c>
      <c r="B182" s="93" t="str">
        <f>Unidades!B174</f>
        <v>T5</v>
      </c>
      <c r="C182" s="93" t="str">
        <f>Unidades!C174</f>
        <v>Fase 1</v>
      </c>
      <c r="D182" s="76">
        <f>Unidades!R174</f>
        <v>733.12</v>
      </c>
      <c r="E182" s="94" t="s">
        <v>622</v>
      </c>
      <c r="F182" s="94" t="s">
        <v>623</v>
      </c>
      <c r="G182" s="94" t="s">
        <v>618</v>
      </c>
      <c r="H182" s="94" t="s">
        <v>624</v>
      </c>
      <c r="I182" s="94" t="s">
        <v>631</v>
      </c>
      <c r="J182" s="95">
        <f t="shared" si="2"/>
        <v>1.9999999999999997E-2</v>
      </c>
      <c r="K182" s="96" t="s">
        <v>639</v>
      </c>
      <c r="L182" s="69"/>
    </row>
    <row r="183" spans="1:12" x14ac:dyDescent="0.25">
      <c r="A183" s="92" t="str">
        <f>Unidades!A175</f>
        <v>E-019</v>
      </c>
      <c r="B183" s="93" t="str">
        <f>Unidades!B175</f>
        <v>T5</v>
      </c>
      <c r="C183" s="93" t="str">
        <f>Unidades!C175</f>
        <v>Fase 1</v>
      </c>
      <c r="D183" s="76">
        <f>Unidades!R175</f>
        <v>640.84</v>
      </c>
      <c r="E183" s="94" t="s">
        <v>622</v>
      </c>
      <c r="F183" s="94" t="s">
        <v>623</v>
      </c>
      <c r="G183" s="94" t="s">
        <v>624</v>
      </c>
      <c r="H183" s="94" t="s">
        <v>624</v>
      </c>
      <c r="I183" s="94" t="s">
        <v>625</v>
      </c>
      <c r="J183" s="95">
        <f t="shared" si="2"/>
        <v>1.9999999999999997E-2</v>
      </c>
      <c r="K183" s="96" t="s">
        <v>639</v>
      </c>
      <c r="L183" s="69"/>
    </row>
    <row r="184" spans="1:12" x14ac:dyDescent="0.25">
      <c r="A184" s="92" t="str">
        <f>Unidades!A176</f>
        <v>E-020</v>
      </c>
      <c r="B184" s="93" t="str">
        <f>Unidades!B176</f>
        <v>T5</v>
      </c>
      <c r="C184" s="93" t="str">
        <f>Unidades!C176</f>
        <v>Fase 1</v>
      </c>
      <c r="D184" s="76">
        <f>Unidades!R176</f>
        <v>648.91</v>
      </c>
      <c r="E184" s="94" t="s">
        <v>622</v>
      </c>
      <c r="F184" s="94" t="s">
        <v>628</v>
      </c>
      <c r="G184" s="94" t="s">
        <v>624</v>
      </c>
      <c r="H184" s="94" t="s">
        <v>624</v>
      </c>
      <c r="I184" s="94" t="s">
        <v>625</v>
      </c>
      <c r="J184" s="95">
        <f t="shared" si="2"/>
        <v>-1.7347234759768071E-18</v>
      </c>
      <c r="K184" s="96" t="s">
        <v>639</v>
      </c>
      <c r="L184" s="69"/>
    </row>
    <row r="185" spans="1:12" x14ac:dyDescent="0.25">
      <c r="A185" s="92" t="str">
        <f>Unidades!A177</f>
        <v>E-021</v>
      </c>
      <c r="B185" s="93" t="str">
        <f>Unidades!B177</f>
        <v>T5</v>
      </c>
      <c r="C185" s="93" t="str">
        <f>Unidades!C177</f>
        <v>Fase 1</v>
      </c>
      <c r="D185" s="76">
        <f>Unidades!R177</f>
        <v>540.47</v>
      </c>
      <c r="E185" s="94" t="s">
        <v>616</v>
      </c>
      <c r="F185" s="94" t="s">
        <v>617</v>
      </c>
      <c r="G185" s="94" t="s">
        <v>624</v>
      </c>
      <c r="H185" s="94" t="s">
        <v>624</v>
      </c>
      <c r="I185" s="94" t="s">
        <v>625</v>
      </c>
      <c r="J185" s="95">
        <f t="shared" si="2"/>
        <v>9.0000000000000011E-2</v>
      </c>
      <c r="K185" s="96" t="s">
        <v>639</v>
      </c>
      <c r="L185" s="69"/>
    </row>
    <row r="186" spans="1:12" x14ac:dyDescent="0.25">
      <c r="A186" s="92" t="str">
        <f>Unidades!A178</f>
        <v>E-022</v>
      </c>
      <c r="B186" s="93" t="str">
        <f>Unidades!B178</f>
        <v>T5</v>
      </c>
      <c r="C186" s="93" t="str">
        <f>Unidades!C178</f>
        <v>Fase 1</v>
      </c>
      <c r="D186" s="76">
        <f>Unidades!R178</f>
        <v>662.46</v>
      </c>
      <c r="E186" s="94" t="s">
        <v>622</v>
      </c>
      <c r="F186" s="94" t="s">
        <v>623</v>
      </c>
      <c r="G186" s="94" t="s">
        <v>618</v>
      </c>
      <c r="H186" s="94" t="s">
        <v>619</v>
      </c>
      <c r="I186" s="94" t="s">
        <v>625</v>
      </c>
      <c r="J186" s="95">
        <f t="shared" si="2"/>
        <v>0.05</v>
      </c>
      <c r="K186" s="96" t="s">
        <v>639</v>
      </c>
      <c r="L186" s="69"/>
    </row>
    <row r="187" spans="1:12" x14ac:dyDescent="0.25">
      <c r="A187" s="92" t="str">
        <f>Unidades!A179</f>
        <v>E-023</v>
      </c>
      <c r="B187" s="93" t="str">
        <f>Unidades!B179</f>
        <v>T5</v>
      </c>
      <c r="C187" s="93" t="str">
        <f>Unidades!C179</f>
        <v>Fase 1</v>
      </c>
      <c r="D187" s="76">
        <f>Unidades!R179</f>
        <v>775.34</v>
      </c>
      <c r="E187" s="94" t="s">
        <v>616</v>
      </c>
      <c r="F187" s="94" t="s">
        <v>623</v>
      </c>
      <c r="G187" s="94" t="s">
        <v>618</v>
      </c>
      <c r="H187" s="94" t="s">
        <v>630</v>
      </c>
      <c r="I187" s="94" t="s">
        <v>625</v>
      </c>
      <c r="J187" s="95">
        <f t="shared" si="2"/>
        <v>7.0000000000000007E-2</v>
      </c>
      <c r="K187" s="96" t="s">
        <v>639</v>
      </c>
      <c r="L187" s="69"/>
    </row>
    <row r="188" spans="1:12" x14ac:dyDescent="0.25">
      <c r="A188" s="92" t="str">
        <f>Unidades!A180</f>
        <v>E-024</v>
      </c>
      <c r="B188" s="93" t="str">
        <f>Unidades!B180</f>
        <v>T5</v>
      </c>
      <c r="C188" s="93" t="str">
        <f>Unidades!C180</f>
        <v>Fase 1</v>
      </c>
      <c r="D188" s="76">
        <f>Unidades!R180</f>
        <v>745.47</v>
      </c>
      <c r="E188" s="94" t="s">
        <v>616</v>
      </c>
      <c r="F188" s="94" t="s">
        <v>623</v>
      </c>
      <c r="G188" s="94" t="s">
        <v>618</v>
      </c>
      <c r="H188" s="94" t="s">
        <v>630</v>
      </c>
      <c r="I188" s="94" t="s">
        <v>625</v>
      </c>
      <c r="J188" s="95">
        <f t="shared" si="2"/>
        <v>7.0000000000000007E-2</v>
      </c>
      <c r="K188" s="96" t="s">
        <v>639</v>
      </c>
      <c r="L188" s="69"/>
    </row>
    <row r="189" spans="1:12" x14ac:dyDescent="0.25">
      <c r="A189" s="92" t="str">
        <f>Unidades!A181</f>
        <v>E-025</v>
      </c>
      <c r="B189" s="93" t="str">
        <f>Unidades!B181</f>
        <v>T5</v>
      </c>
      <c r="C189" s="93" t="str">
        <f>Unidades!C181</f>
        <v>Fase 1</v>
      </c>
      <c r="D189" s="76">
        <f>Unidades!R181</f>
        <v>670.43</v>
      </c>
      <c r="E189" s="94" t="s">
        <v>627</v>
      </c>
      <c r="F189" s="94" t="s">
        <v>623</v>
      </c>
      <c r="G189" s="94" t="s">
        <v>624</v>
      </c>
      <c r="H189" s="94" t="s">
        <v>624</v>
      </c>
      <c r="I189" s="94" t="s">
        <v>625</v>
      </c>
      <c r="J189" s="95">
        <f t="shared" si="2"/>
        <v>-0.01</v>
      </c>
      <c r="K189" s="96" t="s">
        <v>639</v>
      </c>
      <c r="L189" s="69"/>
    </row>
    <row r="190" spans="1:12" x14ac:dyDescent="0.25">
      <c r="A190" s="92" t="str">
        <f>Unidades!A182</f>
        <v>E-026</v>
      </c>
      <c r="B190" s="93" t="str">
        <f>Unidades!B182</f>
        <v>T5</v>
      </c>
      <c r="C190" s="93" t="str">
        <f>Unidades!C182</f>
        <v>Fase 1</v>
      </c>
      <c r="D190" s="76">
        <f>Unidades!R182</f>
        <v>542.05999999999995</v>
      </c>
      <c r="E190" s="94" t="s">
        <v>622</v>
      </c>
      <c r="F190" s="94" t="s">
        <v>623</v>
      </c>
      <c r="G190" s="94" t="s">
        <v>624</v>
      </c>
      <c r="H190" s="94" t="s">
        <v>619</v>
      </c>
      <c r="I190" s="94" t="s">
        <v>625</v>
      </c>
      <c r="J190" s="95">
        <f t="shared" si="2"/>
        <v>3.9999999999999994E-2</v>
      </c>
      <c r="K190" s="96" t="s">
        <v>639</v>
      </c>
      <c r="L190" s="69"/>
    </row>
    <row r="191" spans="1:12" x14ac:dyDescent="0.25">
      <c r="A191" s="92" t="str">
        <f>Unidades!A183</f>
        <v>E-027</v>
      </c>
      <c r="B191" s="93" t="str">
        <f>Unidades!B183</f>
        <v>T5</v>
      </c>
      <c r="C191" s="93" t="str">
        <f>Unidades!C183</f>
        <v>Fase 1</v>
      </c>
      <c r="D191" s="76">
        <f>Unidades!R183</f>
        <v>556.16</v>
      </c>
      <c r="E191" s="94" t="s">
        <v>622</v>
      </c>
      <c r="F191" s="94" t="s">
        <v>623</v>
      </c>
      <c r="G191" s="94" t="s">
        <v>624</v>
      </c>
      <c r="H191" s="94" t="s">
        <v>624</v>
      </c>
      <c r="I191" s="94" t="s">
        <v>631</v>
      </c>
      <c r="J191" s="95">
        <f t="shared" si="2"/>
        <v>9.9999999999999967E-3</v>
      </c>
      <c r="K191" s="96" t="s">
        <v>639</v>
      </c>
      <c r="L191" s="69"/>
    </row>
    <row r="192" spans="1:12" x14ac:dyDescent="0.25">
      <c r="A192" s="92" t="str">
        <f>Unidades!A184</f>
        <v>E-028</v>
      </c>
      <c r="B192" s="93" t="str">
        <f>Unidades!B184</f>
        <v>T5</v>
      </c>
      <c r="C192" s="93" t="str">
        <f>Unidades!C184</f>
        <v>Fase 1</v>
      </c>
      <c r="D192" s="76">
        <f>Unidades!R184</f>
        <v>565.84</v>
      </c>
      <c r="E192" s="94" t="s">
        <v>622</v>
      </c>
      <c r="F192" s="94" t="s">
        <v>623</v>
      </c>
      <c r="G192" s="94" t="s">
        <v>618</v>
      </c>
      <c r="H192" s="94" t="s">
        <v>624</v>
      </c>
      <c r="I192" s="94" t="s">
        <v>625</v>
      </c>
      <c r="J192" s="95">
        <f t="shared" si="2"/>
        <v>0.03</v>
      </c>
      <c r="K192" s="96" t="s">
        <v>639</v>
      </c>
      <c r="L192" s="69"/>
    </row>
    <row r="193" spans="1:12" x14ac:dyDescent="0.25">
      <c r="A193" s="92" t="str">
        <f>Unidades!A185</f>
        <v>E-029</v>
      </c>
      <c r="B193" s="93" t="str">
        <f>Unidades!B185</f>
        <v>T5</v>
      </c>
      <c r="C193" s="93" t="str">
        <f>Unidades!C185</f>
        <v>Fase 1</v>
      </c>
      <c r="D193" s="76">
        <f>Unidades!R185</f>
        <v>745.66</v>
      </c>
      <c r="E193" s="94" t="s">
        <v>622</v>
      </c>
      <c r="F193" s="94" t="s">
        <v>623</v>
      </c>
      <c r="G193" s="94" t="s">
        <v>624</v>
      </c>
      <c r="H193" s="94" t="s">
        <v>624</v>
      </c>
      <c r="I193" s="94" t="s">
        <v>625</v>
      </c>
      <c r="J193" s="95">
        <f t="shared" si="2"/>
        <v>1.9999999999999997E-2</v>
      </c>
      <c r="K193" s="96" t="s">
        <v>639</v>
      </c>
      <c r="L193" s="69"/>
    </row>
    <row r="194" spans="1:12" x14ac:dyDescent="0.25">
      <c r="A194" s="92" t="str">
        <f>Unidades!A186</f>
        <v>E-030</v>
      </c>
      <c r="B194" s="93" t="str">
        <f>Unidades!B186</f>
        <v>T5</v>
      </c>
      <c r="C194" s="93" t="str">
        <f>Unidades!C186</f>
        <v>Fase 1</v>
      </c>
      <c r="D194" s="76">
        <f>Unidades!R186</f>
        <v>640.65</v>
      </c>
      <c r="E194" s="94" t="s">
        <v>627</v>
      </c>
      <c r="F194" s="94" t="s">
        <v>623</v>
      </c>
      <c r="G194" s="94" t="s">
        <v>618</v>
      </c>
      <c r="H194" s="94" t="s">
        <v>630</v>
      </c>
      <c r="I194" s="94" t="s">
        <v>625</v>
      </c>
      <c r="J194" s="95">
        <f t="shared" si="2"/>
        <v>-0.01</v>
      </c>
      <c r="K194" s="96" t="s">
        <v>639</v>
      </c>
      <c r="L194" s="69"/>
    </row>
    <row r="195" spans="1:12" x14ac:dyDescent="0.25">
      <c r="A195" s="92" t="str">
        <f>Unidades!A187</f>
        <v>E-031</v>
      </c>
      <c r="B195" s="93" t="str">
        <f>Unidades!B187</f>
        <v>T5</v>
      </c>
      <c r="C195" s="93" t="str">
        <f>Unidades!C187</f>
        <v>Fase 1</v>
      </c>
      <c r="D195" s="76">
        <f>Unidades!R187</f>
        <v>581.95000000000005</v>
      </c>
      <c r="E195" s="94" t="s">
        <v>622</v>
      </c>
      <c r="F195" s="94" t="s">
        <v>617</v>
      </c>
      <c r="G195" s="94" t="s">
        <v>624</v>
      </c>
      <c r="H195" s="94" t="s">
        <v>619</v>
      </c>
      <c r="I195" s="94" t="s">
        <v>620</v>
      </c>
      <c r="J195" s="95">
        <f t="shared" si="2"/>
        <v>0.08</v>
      </c>
      <c r="K195" s="96" t="s">
        <v>639</v>
      </c>
      <c r="L195" s="69"/>
    </row>
    <row r="196" spans="1:12" x14ac:dyDescent="0.25">
      <c r="A196" s="92" t="str">
        <f>Unidades!A188</f>
        <v>E-032</v>
      </c>
      <c r="B196" s="93" t="str">
        <f>Unidades!B188</f>
        <v>T5</v>
      </c>
      <c r="C196" s="93" t="str">
        <f>Unidades!C188</f>
        <v>Fase 1</v>
      </c>
      <c r="D196" s="76">
        <f>Unidades!R188</f>
        <v>523.19000000000005</v>
      </c>
      <c r="E196" s="94" t="s">
        <v>622</v>
      </c>
      <c r="F196" s="94" t="s">
        <v>623</v>
      </c>
      <c r="G196" s="94" t="s">
        <v>624</v>
      </c>
      <c r="H196" s="94" t="s">
        <v>624</v>
      </c>
      <c r="I196" s="94" t="s">
        <v>625</v>
      </c>
      <c r="J196" s="95">
        <f t="shared" si="2"/>
        <v>1.9999999999999997E-2</v>
      </c>
      <c r="K196" s="96" t="s">
        <v>639</v>
      </c>
      <c r="L196" s="69"/>
    </row>
    <row r="197" spans="1:12" x14ac:dyDescent="0.25">
      <c r="A197" s="92" t="str">
        <f>Unidades!A189</f>
        <v>E-033</v>
      </c>
      <c r="B197" s="93" t="str">
        <f>Unidades!B189</f>
        <v>T5</v>
      </c>
      <c r="C197" s="93" t="str">
        <f>Unidades!C189</f>
        <v>Fase 1</v>
      </c>
      <c r="D197" s="76">
        <f>Unidades!R189</f>
        <v>631.47</v>
      </c>
      <c r="E197" s="94" t="s">
        <v>616</v>
      </c>
      <c r="F197" s="94" t="s">
        <v>623</v>
      </c>
      <c r="G197" s="94" t="s">
        <v>618</v>
      </c>
      <c r="H197" s="94" t="s">
        <v>624</v>
      </c>
      <c r="I197" s="94" t="s">
        <v>625</v>
      </c>
      <c r="J197" s="95">
        <f t="shared" si="2"/>
        <v>0.08</v>
      </c>
      <c r="K197" s="96" t="s">
        <v>639</v>
      </c>
      <c r="L197" s="69"/>
    </row>
    <row r="198" spans="1:12" x14ac:dyDescent="0.25">
      <c r="A198" s="92" t="str">
        <f>Unidades!A190</f>
        <v>E-034</v>
      </c>
      <c r="B198" s="93" t="str">
        <f>Unidades!B190</f>
        <v>T5</v>
      </c>
      <c r="C198" s="93" t="str">
        <f>Unidades!C190</f>
        <v>Fase 1</v>
      </c>
      <c r="D198" s="76">
        <f>Unidades!R190</f>
        <v>587.53</v>
      </c>
      <c r="E198" s="94" t="s">
        <v>622</v>
      </c>
      <c r="F198" s="94" t="s">
        <v>623</v>
      </c>
      <c r="G198" s="94" t="s">
        <v>629</v>
      </c>
      <c r="H198" s="94" t="s">
        <v>624</v>
      </c>
      <c r="I198" s="94" t="s">
        <v>625</v>
      </c>
      <c r="J198" s="95">
        <f t="shared" si="2"/>
        <v>0</v>
      </c>
      <c r="K198" s="96" t="s">
        <v>639</v>
      </c>
      <c r="L198" s="69"/>
    </row>
    <row r="199" spans="1:12" x14ac:dyDescent="0.25">
      <c r="A199" s="92" t="str">
        <f>Unidades!A191</f>
        <v>E-035</v>
      </c>
      <c r="B199" s="93" t="str">
        <f>Unidades!B191</f>
        <v>T5</v>
      </c>
      <c r="C199" s="93" t="str">
        <f>Unidades!C191</f>
        <v>Fase 1</v>
      </c>
      <c r="D199" s="76">
        <f>Unidades!R191</f>
        <v>624.05999999999995</v>
      </c>
      <c r="E199" s="94" t="s">
        <v>627</v>
      </c>
      <c r="F199" s="94" t="s">
        <v>628</v>
      </c>
      <c r="G199" s="94" t="s">
        <v>618</v>
      </c>
      <c r="H199" s="94" t="s">
        <v>624</v>
      </c>
      <c r="I199" s="94" t="s">
        <v>631</v>
      </c>
      <c r="J199" s="95">
        <f t="shared" si="2"/>
        <v>-0.03</v>
      </c>
      <c r="K199" s="96" t="s">
        <v>639</v>
      </c>
      <c r="L199" s="69"/>
    </row>
    <row r="200" spans="1:12" x14ac:dyDescent="0.25">
      <c r="A200" s="92" t="str">
        <f>Unidades!A192</f>
        <v>E-036</v>
      </c>
      <c r="B200" s="93" t="str">
        <f>Unidades!B192</f>
        <v>T5</v>
      </c>
      <c r="C200" s="93" t="str">
        <f>Unidades!C192</f>
        <v>Fase 1</v>
      </c>
      <c r="D200" s="76">
        <f>Unidades!R192</f>
        <v>619.19000000000005</v>
      </c>
      <c r="E200" s="94" t="s">
        <v>622</v>
      </c>
      <c r="F200" s="94" t="s">
        <v>623</v>
      </c>
      <c r="G200" s="94" t="s">
        <v>618</v>
      </c>
      <c r="H200" s="94" t="s">
        <v>624</v>
      </c>
      <c r="I200" s="94" t="s">
        <v>625</v>
      </c>
      <c r="J200" s="95">
        <f t="shared" si="2"/>
        <v>0.03</v>
      </c>
      <c r="K200" s="96" t="s">
        <v>639</v>
      </c>
      <c r="L200" s="69"/>
    </row>
    <row r="201" spans="1:12" x14ac:dyDescent="0.25">
      <c r="A201" s="92" t="str">
        <f>Unidades!A193</f>
        <v>E-037</v>
      </c>
      <c r="B201" s="93" t="str">
        <f>Unidades!B193</f>
        <v>T5</v>
      </c>
      <c r="C201" s="93" t="str">
        <f>Unidades!C193</f>
        <v>Fase 1</v>
      </c>
      <c r="D201" s="76">
        <f>Unidades!R193</f>
        <v>649.80999999999995</v>
      </c>
      <c r="E201" s="94" t="s">
        <v>622</v>
      </c>
      <c r="F201" s="94" t="s">
        <v>623</v>
      </c>
      <c r="G201" s="94" t="s">
        <v>624</v>
      </c>
      <c r="H201" s="94" t="s">
        <v>630</v>
      </c>
      <c r="I201" s="94" t="s">
        <v>631</v>
      </c>
      <c r="J201" s="95">
        <f t="shared" si="2"/>
        <v>0</v>
      </c>
      <c r="K201" s="96" t="s">
        <v>639</v>
      </c>
      <c r="L201" s="69"/>
    </row>
    <row r="202" spans="1:12" x14ac:dyDescent="0.25">
      <c r="A202" s="92" t="str">
        <f>Unidades!A194</f>
        <v>E-038</v>
      </c>
      <c r="B202" s="93" t="str">
        <f>Unidades!B194</f>
        <v>T5</v>
      </c>
      <c r="C202" s="93" t="str">
        <f>Unidades!C194</f>
        <v>Fase 1</v>
      </c>
      <c r="D202" s="76">
        <f>Unidades!R194</f>
        <v>706.38</v>
      </c>
      <c r="E202" s="94" t="s">
        <v>627</v>
      </c>
      <c r="F202" s="94" t="s">
        <v>623</v>
      </c>
      <c r="G202" s="94" t="s">
        <v>618</v>
      </c>
      <c r="H202" s="94" t="s">
        <v>630</v>
      </c>
      <c r="I202" s="94" t="s">
        <v>631</v>
      </c>
      <c r="J202" s="95">
        <f t="shared" si="2"/>
        <v>-0.02</v>
      </c>
      <c r="K202" s="96" t="s">
        <v>639</v>
      </c>
      <c r="L202" s="69"/>
    </row>
    <row r="203" spans="1:12" x14ac:dyDescent="0.25">
      <c r="A203" s="92" t="str">
        <f>Unidades!A195</f>
        <v>E-039</v>
      </c>
      <c r="B203" s="93" t="str">
        <f>Unidades!B195</f>
        <v>T5</v>
      </c>
      <c r="C203" s="93" t="str">
        <f>Unidades!C195</f>
        <v>Fase 1</v>
      </c>
      <c r="D203" s="76">
        <f>Unidades!R195</f>
        <v>598.11</v>
      </c>
      <c r="E203" s="94" t="s">
        <v>616</v>
      </c>
      <c r="F203" s="94" t="s">
        <v>623</v>
      </c>
      <c r="G203" s="94" t="s">
        <v>618</v>
      </c>
      <c r="H203" s="94" t="s">
        <v>624</v>
      </c>
      <c r="I203" s="94" t="s">
        <v>625</v>
      </c>
      <c r="J203" s="95">
        <f t="shared" ref="J203:J266" si="3">IFERROR(VLOOKUP(E203,$A$5:$B$7,2,0),0)+IFERROR(VLOOKUP(F203,$D$5:$E$7,2,0),0)+IFERROR(VLOOKUP(G203,$G$5:$H$7,2,0),0)+IFERROR(VLOOKUP(H203,$J$5:$K$7,2,0),0)+IFERROR(VLOOKUP(I203,$M$5:$N$7,2,0),0)</f>
        <v>0.08</v>
      </c>
      <c r="K203" s="96" t="s">
        <v>639</v>
      </c>
      <c r="L203" s="69"/>
    </row>
    <row r="204" spans="1:12" x14ac:dyDescent="0.25">
      <c r="A204" s="92" t="str">
        <f>Unidades!A196</f>
        <v>E-040</v>
      </c>
      <c r="B204" s="93" t="str">
        <f>Unidades!B196</f>
        <v>T5</v>
      </c>
      <c r="C204" s="93" t="str">
        <f>Unidades!C196</f>
        <v>Fase 1</v>
      </c>
      <c r="D204" s="76">
        <f>Unidades!R196</f>
        <v>600.45000000000005</v>
      </c>
      <c r="E204" s="94" t="s">
        <v>627</v>
      </c>
      <c r="F204" s="94" t="s">
        <v>623</v>
      </c>
      <c r="G204" s="94" t="s">
        <v>618</v>
      </c>
      <c r="H204" s="94" t="s">
        <v>619</v>
      </c>
      <c r="I204" s="94" t="s">
        <v>620</v>
      </c>
      <c r="J204" s="95">
        <f t="shared" si="3"/>
        <v>0.04</v>
      </c>
      <c r="K204" s="96" t="s">
        <v>639</v>
      </c>
      <c r="L204" s="69"/>
    </row>
    <row r="205" spans="1:12" x14ac:dyDescent="0.25">
      <c r="A205" s="92" t="str">
        <f>Unidades!A197</f>
        <v>E-041</v>
      </c>
      <c r="B205" s="93" t="str">
        <f>Unidades!B197</f>
        <v>T5</v>
      </c>
      <c r="C205" s="93" t="str">
        <f>Unidades!C197</f>
        <v>Fase 1</v>
      </c>
      <c r="D205" s="76">
        <f>Unidades!R197</f>
        <v>543.86</v>
      </c>
      <c r="E205" s="94" t="s">
        <v>616</v>
      </c>
      <c r="F205" s="94" t="s">
        <v>623</v>
      </c>
      <c r="G205" s="94" t="s">
        <v>618</v>
      </c>
      <c r="H205" s="94" t="s">
        <v>624</v>
      </c>
      <c r="I205" s="94" t="s">
        <v>625</v>
      </c>
      <c r="J205" s="95">
        <f t="shared" si="3"/>
        <v>0.08</v>
      </c>
      <c r="K205" s="96" t="s">
        <v>639</v>
      </c>
      <c r="L205" s="69"/>
    </row>
    <row r="206" spans="1:12" x14ac:dyDescent="0.25">
      <c r="A206" s="92" t="str">
        <f>Unidades!A198</f>
        <v>E-042</v>
      </c>
      <c r="B206" s="93" t="str">
        <f>Unidades!B198</f>
        <v>T5</v>
      </c>
      <c r="C206" s="93" t="str">
        <f>Unidades!C198</f>
        <v>Fase 1</v>
      </c>
      <c r="D206" s="76">
        <f>Unidades!R198</f>
        <v>514.86</v>
      </c>
      <c r="E206" s="94" t="s">
        <v>627</v>
      </c>
      <c r="F206" s="94" t="s">
        <v>623</v>
      </c>
      <c r="G206" s="94" t="s">
        <v>624</v>
      </c>
      <c r="H206" s="94" t="s">
        <v>624</v>
      </c>
      <c r="I206" s="94" t="s">
        <v>631</v>
      </c>
      <c r="J206" s="95">
        <f t="shared" si="3"/>
        <v>-0.02</v>
      </c>
      <c r="K206" s="96" t="s">
        <v>639</v>
      </c>
      <c r="L206" s="69"/>
    </row>
    <row r="207" spans="1:12" x14ac:dyDescent="0.25">
      <c r="A207" s="92" t="str">
        <f>Unidades!A199</f>
        <v>E-043</v>
      </c>
      <c r="B207" s="93" t="str">
        <f>Unidades!B199</f>
        <v>T5</v>
      </c>
      <c r="C207" s="93" t="str">
        <f>Unidades!C199</f>
        <v>Fase 1</v>
      </c>
      <c r="D207" s="76">
        <f>Unidades!R199</f>
        <v>617.64</v>
      </c>
      <c r="E207" s="94" t="s">
        <v>616</v>
      </c>
      <c r="F207" s="94" t="s">
        <v>617</v>
      </c>
      <c r="G207" s="94" t="s">
        <v>618</v>
      </c>
      <c r="H207" s="94" t="s">
        <v>619</v>
      </c>
      <c r="I207" s="94" t="s">
        <v>625</v>
      </c>
      <c r="J207" s="95">
        <f t="shared" si="3"/>
        <v>0.12000000000000001</v>
      </c>
      <c r="K207" s="96" t="s">
        <v>639</v>
      </c>
      <c r="L207" s="69"/>
    </row>
    <row r="208" spans="1:12" x14ac:dyDescent="0.25">
      <c r="A208" s="92" t="str">
        <f>Unidades!A200</f>
        <v>E-044</v>
      </c>
      <c r="B208" s="93" t="str">
        <f>Unidades!B200</f>
        <v>T5</v>
      </c>
      <c r="C208" s="93" t="str">
        <f>Unidades!C200</f>
        <v>Fase 1</v>
      </c>
      <c r="D208" s="76">
        <f>Unidades!R200</f>
        <v>640.51</v>
      </c>
      <c r="E208" s="94" t="s">
        <v>616</v>
      </c>
      <c r="F208" s="94" t="s">
        <v>617</v>
      </c>
      <c r="G208" s="94" t="s">
        <v>629</v>
      </c>
      <c r="H208" s="94" t="s">
        <v>630</v>
      </c>
      <c r="I208" s="94" t="s">
        <v>625</v>
      </c>
      <c r="J208" s="95">
        <f t="shared" si="3"/>
        <v>6.0000000000000005E-2</v>
      </c>
      <c r="K208" s="96" t="s">
        <v>639</v>
      </c>
      <c r="L208" s="69"/>
    </row>
    <row r="209" spans="1:12" x14ac:dyDescent="0.25">
      <c r="A209" s="92" t="str">
        <f>Unidades!A201</f>
        <v>E-045</v>
      </c>
      <c r="B209" s="93" t="str">
        <f>Unidades!B201</f>
        <v>T5</v>
      </c>
      <c r="C209" s="93" t="str">
        <f>Unidades!C201</f>
        <v>Fase 1</v>
      </c>
      <c r="D209" s="76">
        <f>Unidades!R201</f>
        <v>716.83</v>
      </c>
      <c r="E209" s="94" t="s">
        <v>622</v>
      </c>
      <c r="F209" s="94" t="s">
        <v>623</v>
      </c>
      <c r="G209" s="94" t="s">
        <v>618</v>
      </c>
      <c r="H209" s="94" t="s">
        <v>624</v>
      </c>
      <c r="I209" s="94" t="s">
        <v>620</v>
      </c>
      <c r="J209" s="95">
        <f t="shared" si="3"/>
        <v>0.05</v>
      </c>
      <c r="K209" s="96" t="s">
        <v>639</v>
      </c>
      <c r="L209" s="69"/>
    </row>
    <row r="210" spans="1:12" x14ac:dyDescent="0.25">
      <c r="A210" s="92" t="str">
        <f>Unidades!A202</f>
        <v>E-046</v>
      </c>
      <c r="B210" s="93" t="str">
        <f>Unidades!B202</f>
        <v>T5</v>
      </c>
      <c r="C210" s="93" t="str">
        <f>Unidades!C202</f>
        <v>Fase 1</v>
      </c>
      <c r="D210" s="76">
        <f>Unidades!R202</f>
        <v>629.35</v>
      </c>
      <c r="E210" s="94" t="s">
        <v>622</v>
      </c>
      <c r="F210" s="94" t="s">
        <v>623</v>
      </c>
      <c r="G210" s="94" t="s">
        <v>618</v>
      </c>
      <c r="H210" s="94" t="s">
        <v>630</v>
      </c>
      <c r="I210" s="94" t="s">
        <v>625</v>
      </c>
      <c r="J210" s="95">
        <f t="shared" si="3"/>
        <v>1.9999999999999997E-2</v>
      </c>
      <c r="K210" s="96" t="s">
        <v>639</v>
      </c>
      <c r="L210" s="69"/>
    </row>
    <row r="211" spans="1:12" x14ac:dyDescent="0.25">
      <c r="A211" s="92" t="str">
        <f>Unidades!A203</f>
        <v>E-047</v>
      </c>
      <c r="B211" s="93" t="str">
        <f>Unidades!B203</f>
        <v>T5</v>
      </c>
      <c r="C211" s="93" t="str">
        <f>Unidades!C203</f>
        <v>Fase 1</v>
      </c>
      <c r="D211" s="76">
        <f>Unidades!R203</f>
        <v>667.75</v>
      </c>
      <c r="E211" s="94" t="s">
        <v>622</v>
      </c>
      <c r="F211" s="94" t="s">
        <v>628</v>
      </c>
      <c r="G211" s="94" t="s">
        <v>618</v>
      </c>
      <c r="H211" s="94" t="s">
        <v>624</v>
      </c>
      <c r="I211" s="94" t="s">
        <v>625</v>
      </c>
      <c r="J211" s="95">
        <f t="shared" si="3"/>
        <v>9.9999999999999985E-3</v>
      </c>
      <c r="K211" s="96" t="s">
        <v>639</v>
      </c>
      <c r="L211" s="69"/>
    </row>
    <row r="212" spans="1:12" x14ac:dyDescent="0.25">
      <c r="A212" s="92" t="str">
        <f>Unidades!A204</f>
        <v>E-048</v>
      </c>
      <c r="B212" s="93" t="str">
        <f>Unidades!B204</f>
        <v>T5</v>
      </c>
      <c r="C212" s="93" t="str">
        <f>Unidades!C204</f>
        <v>Fase 1</v>
      </c>
      <c r="D212" s="76">
        <f>Unidades!R204</f>
        <v>666.58</v>
      </c>
      <c r="E212" s="94" t="s">
        <v>627</v>
      </c>
      <c r="F212" s="94" t="s">
        <v>623</v>
      </c>
      <c r="G212" s="94" t="s">
        <v>618</v>
      </c>
      <c r="H212" s="94" t="s">
        <v>624</v>
      </c>
      <c r="I212" s="94" t="s">
        <v>625</v>
      </c>
      <c r="J212" s="95">
        <f t="shared" si="3"/>
        <v>0</v>
      </c>
      <c r="K212" s="96" t="s">
        <v>639</v>
      </c>
      <c r="L212" s="69"/>
    </row>
    <row r="213" spans="1:12" x14ac:dyDescent="0.25">
      <c r="A213" s="92" t="str">
        <f>Unidades!A205</f>
        <v>E-049</v>
      </c>
      <c r="B213" s="93" t="str">
        <f>Unidades!B205</f>
        <v>T5</v>
      </c>
      <c r="C213" s="93" t="str">
        <f>Unidades!C205</f>
        <v>Fase 1</v>
      </c>
      <c r="D213" s="76">
        <f>Unidades!R205</f>
        <v>610.66</v>
      </c>
      <c r="E213" s="94" t="s">
        <v>627</v>
      </c>
      <c r="F213" s="94" t="s">
        <v>623</v>
      </c>
      <c r="G213" s="94" t="s">
        <v>624</v>
      </c>
      <c r="H213" s="94" t="s">
        <v>619</v>
      </c>
      <c r="I213" s="94" t="s">
        <v>625</v>
      </c>
      <c r="J213" s="95">
        <f t="shared" si="3"/>
        <v>0.01</v>
      </c>
      <c r="K213" s="96" t="s">
        <v>639</v>
      </c>
      <c r="L213" s="69"/>
    </row>
    <row r="214" spans="1:12" x14ac:dyDescent="0.25">
      <c r="A214" s="92" t="str">
        <f>Unidades!A206</f>
        <v>E-050</v>
      </c>
      <c r="B214" s="93" t="str">
        <f>Unidades!B206</f>
        <v>T5</v>
      </c>
      <c r="C214" s="93" t="str">
        <f>Unidades!C206</f>
        <v>Fase 1</v>
      </c>
      <c r="D214" s="76">
        <f>Unidades!R206</f>
        <v>528.73</v>
      </c>
      <c r="E214" s="94" t="s">
        <v>622</v>
      </c>
      <c r="F214" s="94" t="s">
        <v>623</v>
      </c>
      <c r="G214" s="94" t="s">
        <v>618</v>
      </c>
      <c r="H214" s="94" t="s">
        <v>619</v>
      </c>
      <c r="I214" s="94" t="s">
        <v>631</v>
      </c>
      <c r="J214" s="95">
        <f t="shared" si="3"/>
        <v>0.04</v>
      </c>
      <c r="K214" s="96" t="s">
        <v>639</v>
      </c>
      <c r="L214" s="69"/>
    </row>
    <row r="215" spans="1:12" x14ac:dyDescent="0.25">
      <c r="A215" s="92" t="str">
        <f>Unidades!A207</f>
        <v>E-051</v>
      </c>
      <c r="B215" s="93" t="str">
        <f>Unidades!B207</f>
        <v>T5</v>
      </c>
      <c r="C215" s="93" t="str">
        <f>Unidades!C207</f>
        <v>Fase 1</v>
      </c>
      <c r="D215" s="76">
        <f>Unidades!R207</f>
        <v>635.74</v>
      </c>
      <c r="E215" s="94" t="s">
        <v>622</v>
      </c>
      <c r="F215" s="94" t="s">
        <v>623</v>
      </c>
      <c r="G215" s="94" t="s">
        <v>618</v>
      </c>
      <c r="H215" s="94" t="s">
        <v>630</v>
      </c>
      <c r="I215" s="94" t="s">
        <v>625</v>
      </c>
      <c r="J215" s="95">
        <f t="shared" si="3"/>
        <v>1.9999999999999997E-2</v>
      </c>
      <c r="K215" s="96" t="s">
        <v>639</v>
      </c>
      <c r="L215" s="69"/>
    </row>
    <row r="216" spans="1:12" x14ac:dyDescent="0.25">
      <c r="A216" s="92" t="str">
        <f>Unidades!A208</f>
        <v>E-052</v>
      </c>
      <c r="B216" s="93" t="str">
        <f>Unidades!B208</f>
        <v>T5</v>
      </c>
      <c r="C216" s="93" t="str">
        <f>Unidades!C208</f>
        <v>Fase 1</v>
      </c>
      <c r="D216" s="76">
        <f>Unidades!R208</f>
        <v>571.20000000000005</v>
      </c>
      <c r="E216" s="94" t="s">
        <v>622</v>
      </c>
      <c r="F216" s="94" t="s">
        <v>623</v>
      </c>
      <c r="G216" s="94" t="s">
        <v>624</v>
      </c>
      <c r="H216" s="94" t="s">
        <v>624</v>
      </c>
      <c r="I216" s="94" t="s">
        <v>625</v>
      </c>
      <c r="J216" s="95">
        <f t="shared" si="3"/>
        <v>1.9999999999999997E-2</v>
      </c>
      <c r="K216" s="96" t="s">
        <v>639</v>
      </c>
      <c r="L216" s="69"/>
    </row>
    <row r="217" spans="1:12" x14ac:dyDescent="0.25">
      <c r="A217" s="92" t="str">
        <f>Unidades!A209</f>
        <v>E-053</v>
      </c>
      <c r="B217" s="93" t="str">
        <f>Unidades!B209</f>
        <v>T5</v>
      </c>
      <c r="C217" s="93" t="str">
        <f>Unidades!C209</f>
        <v>Fase 1</v>
      </c>
      <c r="D217" s="76">
        <f>Unidades!R209</f>
        <v>594.76</v>
      </c>
      <c r="E217" s="94" t="s">
        <v>622</v>
      </c>
      <c r="F217" s="94" t="s">
        <v>623</v>
      </c>
      <c r="G217" s="94" t="s">
        <v>618</v>
      </c>
      <c r="H217" s="94" t="s">
        <v>630</v>
      </c>
      <c r="I217" s="94" t="s">
        <v>631</v>
      </c>
      <c r="J217" s="95">
        <f t="shared" si="3"/>
        <v>9.9999999999999967E-3</v>
      </c>
      <c r="K217" s="96" t="s">
        <v>639</v>
      </c>
      <c r="L217" s="69"/>
    </row>
    <row r="218" spans="1:12" x14ac:dyDescent="0.25">
      <c r="A218" s="92" t="str">
        <f>Unidades!A210</f>
        <v>E-054</v>
      </c>
      <c r="B218" s="93" t="str">
        <f>Unidades!B210</f>
        <v>T5</v>
      </c>
      <c r="C218" s="93" t="str">
        <f>Unidades!C210</f>
        <v>Fase 1</v>
      </c>
      <c r="D218" s="76">
        <f>Unidades!R210</f>
        <v>571.22</v>
      </c>
      <c r="E218" s="94" t="s">
        <v>622</v>
      </c>
      <c r="F218" s="94" t="s">
        <v>623</v>
      </c>
      <c r="G218" s="94" t="s">
        <v>624</v>
      </c>
      <c r="H218" s="94" t="s">
        <v>619</v>
      </c>
      <c r="I218" s="94" t="s">
        <v>625</v>
      </c>
      <c r="J218" s="95">
        <f t="shared" si="3"/>
        <v>3.9999999999999994E-2</v>
      </c>
      <c r="K218" s="96" t="s">
        <v>639</v>
      </c>
      <c r="L218" s="69"/>
    </row>
    <row r="219" spans="1:12" x14ac:dyDescent="0.25">
      <c r="A219" s="92" t="str">
        <f>Unidades!A211</f>
        <v>E-055</v>
      </c>
      <c r="B219" s="93" t="str">
        <f>Unidades!B211</f>
        <v>T5</v>
      </c>
      <c r="C219" s="93" t="str">
        <f>Unidades!C211</f>
        <v>Fase 1</v>
      </c>
      <c r="D219" s="76">
        <f>Unidades!R211</f>
        <v>530.14</v>
      </c>
      <c r="E219" s="94" t="s">
        <v>616</v>
      </c>
      <c r="F219" s="94" t="s">
        <v>623</v>
      </c>
      <c r="G219" s="94" t="s">
        <v>624</v>
      </c>
      <c r="H219" s="94" t="s">
        <v>624</v>
      </c>
      <c r="I219" s="94" t="s">
        <v>625</v>
      </c>
      <c r="J219" s="95">
        <f t="shared" si="3"/>
        <v>7.0000000000000007E-2</v>
      </c>
      <c r="K219" s="96" t="s">
        <v>639</v>
      </c>
      <c r="L219" s="69"/>
    </row>
    <row r="220" spans="1:12" x14ac:dyDescent="0.25">
      <c r="A220" s="92" t="str">
        <f>Unidades!A212</f>
        <v>E-056</v>
      </c>
      <c r="B220" s="93" t="str">
        <f>Unidades!B212</f>
        <v>T5</v>
      </c>
      <c r="C220" s="93" t="str">
        <f>Unidades!C212</f>
        <v>Fase 1</v>
      </c>
      <c r="D220" s="76">
        <f>Unidades!R212</f>
        <v>624.99</v>
      </c>
      <c r="E220" s="94" t="s">
        <v>627</v>
      </c>
      <c r="F220" s="94" t="s">
        <v>623</v>
      </c>
      <c r="G220" s="94" t="s">
        <v>629</v>
      </c>
      <c r="H220" s="94" t="s">
        <v>624</v>
      </c>
      <c r="I220" s="94" t="s">
        <v>625</v>
      </c>
      <c r="J220" s="95">
        <f t="shared" si="3"/>
        <v>-0.03</v>
      </c>
      <c r="K220" s="96" t="s">
        <v>639</v>
      </c>
      <c r="L220" s="69"/>
    </row>
    <row r="221" spans="1:12" x14ac:dyDescent="0.25">
      <c r="A221" s="92" t="str">
        <f>Unidades!A213</f>
        <v>E-057</v>
      </c>
      <c r="B221" s="93" t="str">
        <f>Unidades!B213</f>
        <v>T5</v>
      </c>
      <c r="C221" s="93" t="str">
        <f>Unidades!C213</f>
        <v>Fase 2</v>
      </c>
      <c r="D221" s="76">
        <f>Unidades!R213</f>
        <v>795.94</v>
      </c>
      <c r="E221" s="94" t="s">
        <v>622</v>
      </c>
      <c r="F221" s="94" t="s">
        <v>623</v>
      </c>
      <c r="G221" s="94" t="s">
        <v>629</v>
      </c>
      <c r="H221" s="94" t="s">
        <v>624</v>
      </c>
      <c r="I221" s="94" t="s">
        <v>631</v>
      </c>
      <c r="J221" s="95">
        <f t="shared" si="3"/>
        <v>-0.01</v>
      </c>
      <c r="K221" s="96" t="s">
        <v>639</v>
      </c>
      <c r="L221" s="69"/>
    </row>
    <row r="222" spans="1:12" x14ac:dyDescent="0.25">
      <c r="A222" s="92" t="str">
        <f>Unidades!A214</f>
        <v>E-058</v>
      </c>
      <c r="B222" s="93" t="str">
        <f>Unidades!B214</f>
        <v>T5</v>
      </c>
      <c r="C222" s="93" t="str">
        <f>Unidades!C214</f>
        <v>Fase 2</v>
      </c>
      <c r="D222" s="76">
        <f>Unidades!R214</f>
        <v>766.81</v>
      </c>
      <c r="E222" s="94" t="s">
        <v>616</v>
      </c>
      <c r="F222" s="94" t="s">
        <v>628</v>
      </c>
      <c r="G222" s="94" t="s">
        <v>624</v>
      </c>
      <c r="H222" s="94" t="s">
        <v>624</v>
      </c>
      <c r="I222" s="94" t="s">
        <v>625</v>
      </c>
      <c r="J222" s="95">
        <f t="shared" si="3"/>
        <v>4.9999999999999996E-2</v>
      </c>
      <c r="K222" s="96" t="s">
        <v>639</v>
      </c>
      <c r="L222" s="69"/>
    </row>
    <row r="223" spans="1:12" x14ac:dyDescent="0.25">
      <c r="A223" s="92" t="str">
        <f>Unidades!A215</f>
        <v>E-059</v>
      </c>
      <c r="B223" s="93" t="str">
        <f>Unidades!B215</f>
        <v>T5</v>
      </c>
      <c r="C223" s="93" t="str">
        <f>Unidades!C215</f>
        <v>Fase 2</v>
      </c>
      <c r="D223" s="76">
        <f>Unidades!R215</f>
        <v>712.57</v>
      </c>
      <c r="E223" s="94" t="s">
        <v>627</v>
      </c>
      <c r="F223" s="94" t="s">
        <v>623</v>
      </c>
      <c r="G223" s="94" t="s">
        <v>624</v>
      </c>
      <c r="H223" s="94" t="s">
        <v>624</v>
      </c>
      <c r="I223" s="94" t="s">
        <v>625</v>
      </c>
      <c r="J223" s="95">
        <f t="shared" si="3"/>
        <v>-0.01</v>
      </c>
      <c r="K223" s="96" t="s">
        <v>639</v>
      </c>
      <c r="L223" s="69"/>
    </row>
    <row r="224" spans="1:12" x14ac:dyDescent="0.25">
      <c r="A224" s="92" t="str">
        <f>Unidades!A216</f>
        <v>E-060</v>
      </c>
      <c r="B224" s="93" t="str">
        <f>Unidades!B216</f>
        <v>T5</v>
      </c>
      <c r="C224" s="93" t="str">
        <f>Unidades!C216</f>
        <v>Fase 2</v>
      </c>
      <c r="D224" s="76">
        <f>Unidades!R216</f>
        <v>768.91</v>
      </c>
      <c r="E224" s="94" t="s">
        <v>622</v>
      </c>
      <c r="F224" s="94" t="s">
        <v>623</v>
      </c>
      <c r="G224" s="94" t="s">
        <v>618</v>
      </c>
      <c r="H224" s="94" t="s">
        <v>624</v>
      </c>
      <c r="I224" s="94" t="s">
        <v>625</v>
      </c>
      <c r="J224" s="95">
        <f t="shared" si="3"/>
        <v>0.03</v>
      </c>
      <c r="K224" s="96" t="s">
        <v>639</v>
      </c>
      <c r="L224" s="69"/>
    </row>
    <row r="225" spans="1:12" x14ac:dyDescent="0.25">
      <c r="A225" s="92" t="str">
        <f>Unidades!A217</f>
        <v>E-061</v>
      </c>
      <c r="B225" s="93" t="str">
        <f>Unidades!B217</f>
        <v>T5</v>
      </c>
      <c r="C225" s="93" t="str">
        <f>Unidades!C217</f>
        <v>Fase 2</v>
      </c>
      <c r="D225" s="76">
        <f>Unidades!R217</f>
        <v>817.59</v>
      </c>
      <c r="E225" s="94" t="s">
        <v>622</v>
      </c>
      <c r="F225" s="94" t="s">
        <v>623</v>
      </c>
      <c r="G225" s="94" t="s">
        <v>624</v>
      </c>
      <c r="H225" s="94" t="s">
        <v>624</v>
      </c>
      <c r="I225" s="94" t="s">
        <v>625</v>
      </c>
      <c r="J225" s="95">
        <f t="shared" si="3"/>
        <v>1.9999999999999997E-2</v>
      </c>
      <c r="K225" s="96" t="s">
        <v>639</v>
      </c>
      <c r="L225" s="69"/>
    </row>
    <row r="226" spans="1:12" x14ac:dyDescent="0.25">
      <c r="A226" s="92" t="str">
        <f>Unidades!A218</f>
        <v>E-062</v>
      </c>
      <c r="B226" s="93" t="str">
        <f>Unidades!B218</f>
        <v>T5</v>
      </c>
      <c r="C226" s="93" t="str">
        <f>Unidades!C218</f>
        <v>Fase 2</v>
      </c>
      <c r="D226" s="76">
        <f>Unidades!R218</f>
        <v>957.12</v>
      </c>
      <c r="E226" s="94" t="s">
        <v>627</v>
      </c>
      <c r="F226" s="94" t="s">
        <v>623</v>
      </c>
      <c r="G226" s="94" t="s">
        <v>618</v>
      </c>
      <c r="H226" s="94" t="s">
        <v>624</v>
      </c>
      <c r="I226" s="94" t="s">
        <v>625</v>
      </c>
      <c r="J226" s="95">
        <f t="shared" si="3"/>
        <v>0</v>
      </c>
      <c r="K226" s="96" t="s">
        <v>639</v>
      </c>
      <c r="L226" s="69"/>
    </row>
    <row r="227" spans="1:12" x14ac:dyDescent="0.25">
      <c r="A227" s="92" t="str">
        <f>Unidades!A219</f>
        <v>E-063</v>
      </c>
      <c r="B227" s="93" t="str">
        <f>Unidades!B219</f>
        <v>T5</v>
      </c>
      <c r="C227" s="93" t="str">
        <f>Unidades!C219</f>
        <v>Fase 2</v>
      </c>
      <c r="D227" s="76">
        <f>Unidades!R219</f>
        <v>1101.92</v>
      </c>
      <c r="E227" s="94" t="s">
        <v>622</v>
      </c>
      <c r="F227" s="94" t="s">
        <v>623</v>
      </c>
      <c r="G227" s="94" t="s">
        <v>624</v>
      </c>
      <c r="H227" s="94" t="s">
        <v>630</v>
      </c>
      <c r="I227" s="94" t="s">
        <v>625</v>
      </c>
      <c r="J227" s="95">
        <f t="shared" si="3"/>
        <v>9.9999999999999967E-3</v>
      </c>
      <c r="K227" s="96" t="s">
        <v>639</v>
      </c>
      <c r="L227" s="69"/>
    </row>
    <row r="228" spans="1:12" x14ac:dyDescent="0.25">
      <c r="A228" s="92" t="str">
        <f>Unidades!A220</f>
        <v>E-064</v>
      </c>
      <c r="B228" s="93" t="str">
        <f>Unidades!B220</f>
        <v>T5</v>
      </c>
      <c r="C228" s="93" t="str">
        <f>Unidades!C220</f>
        <v>Fase 2</v>
      </c>
      <c r="D228" s="76">
        <f>Unidades!R220</f>
        <v>745.35</v>
      </c>
      <c r="E228" s="94" t="s">
        <v>627</v>
      </c>
      <c r="F228" s="94" t="s">
        <v>623</v>
      </c>
      <c r="G228" s="94" t="s">
        <v>618</v>
      </c>
      <c r="H228" s="94" t="s">
        <v>624</v>
      </c>
      <c r="I228" s="94" t="s">
        <v>625</v>
      </c>
      <c r="J228" s="95">
        <f t="shared" si="3"/>
        <v>0</v>
      </c>
      <c r="K228" s="96" t="s">
        <v>639</v>
      </c>
      <c r="L228" s="69"/>
    </row>
    <row r="229" spans="1:12" x14ac:dyDescent="0.25">
      <c r="A229" s="92" t="str">
        <f>Unidades!A221</f>
        <v>E-065</v>
      </c>
      <c r="B229" s="93" t="str">
        <f>Unidades!B221</f>
        <v>T5</v>
      </c>
      <c r="C229" s="93" t="str">
        <f>Unidades!C221</f>
        <v>Fase 2</v>
      </c>
      <c r="D229" s="76">
        <f>Unidades!R221</f>
        <v>713.82</v>
      </c>
      <c r="E229" s="94" t="s">
        <v>622</v>
      </c>
      <c r="F229" s="94" t="s">
        <v>623</v>
      </c>
      <c r="G229" s="94" t="s">
        <v>624</v>
      </c>
      <c r="H229" s="94" t="s">
        <v>619</v>
      </c>
      <c r="I229" s="94" t="s">
        <v>625</v>
      </c>
      <c r="J229" s="95">
        <f t="shared" si="3"/>
        <v>3.9999999999999994E-2</v>
      </c>
      <c r="K229" s="96" t="s">
        <v>639</v>
      </c>
      <c r="L229" s="69"/>
    </row>
    <row r="230" spans="1:12" x14ac:dyDescent="0.25">
      <c r="A230" s="92" t="str">
        <f>Unidades!A222</f>
        <v>E-066</v>
      </c>
      <c r="B230" s="93" t="str">
        <f>Unidades!B222</f>
        <v>T5</v>
      </c>
      <c r="C230" s="93" t="str">
        <f>Unidades!C222</f>
        <v>Fase 2</v>
      </c>
      <c r="D230" s="76">
        <f>Unidades!R222</f>
        <v>960.72</v>
      </c>
      <c r="E230" s="94" t="s">
        <v>616</v>
      </c>
      <c r="F230" s="94" t="s">
        <v>623</v>
      </c>
      <c r="G230" s="94" t="s">
        <v>624</v>
      </c>
      <c r="H230" s="94" t="s">
        <v>630</v>
      </c>
      <c r="I230" s="94" t="s">
        <v>631</v>
      </c>
      <c r="J230" s="95">
        <f t="shared" si="3"/>
        <v>0.05</v>
      </c>
      <c r="K230" s="96" t="s">
        <v>639</v>
      </c>
      <c r="L230" s="69"/>
    </row>
    <row r="231" spans="1:12" x14ac:dyDescent="0.25">
      <c r="A231" s="92" t="str">
        <f>Unidades!A223</f>
        <v>E-067</v>
      </c>
      <c r="B231" s="93" t="str">
        <f>Unidades!B223</f>
        <v>T5</v>
      </c>
      <c r="C231" s="93" t="str">
        <f>Unidades!C223</f>
        <v>Fase 2</v>
      </c>
      <c r="D231" s="76">
        <f>Unidades!R223</f>
        <v>968</v>
      </c>
      <c r="E231" s="94" t="s">
        <v>622</v>
      </c>
      <c r="F231" s="94" t="s">
        <v>617</v>
      </c>
      <c r="G231" s="94" t="s">
        <v>624</v>
      </c>
      <c r="H231" s="94" t="s">
        <v>624</v>
      </c>
      <c r="I231" s="94" t="s">
        <v>625</v>
      </c>
      <c r="J231" s="95">
        <f t="shared" si="3"/>
        <v>0.04</v>
      </c>
      <c r="K231" s="96" t="s">
        <v>639</v>
      </c>
      <c r="L231" s="69"/>
    </row>
    <row r="232" spans="1:12" x14ac:dyDescent="0.25">
      <c r="A232" s="92" t="str">
        <f>Unidades!A224</f>
        <v>E-068</v>
      </c>
      <c r="B232" s="93" t="str">
        <f>Unidades!B224</f>
        <v>T5</v>
      </c>
      <c r="C232" s="93" t="str">
        <f>Unidades!C224</f>
        <v>Fase 2</v>
      </c>
      <c r="D232" s="76">
        <f>Unidades!R224</f>
        <v>793.52</v>
      </c>
      <c r="E232" s="94" t="s">
        <v>622</v>
      </c>
      <c r="F232" s="94" t="s">
        <v>617</v>
      </c>
      <c r="G232" s="94" t="s">
        <v>624</v>
      </c>
      <c r="H232" s="94" t="s">
        <v>619</v>
      </c>
      <c r="I232" s="94" t="s">
        <v>631</v>
      </c>
      <c r="J232" s="95">
        <f t="shared" si="3"/>
        <v>4.9999999999999996E-2</v>
      </c>
      <c r="K232" s="96" t="s">
        <v>639</v>
      </c>
      <c r="L232" s="69"/>
    </row>
    <row r="233" spans="1:12" x14ac:dyDescent="0.25">
      <c r="A233" s="92" t="str">
        <f>Unidades!A225</f>
        <v>E-069</v>
      </c>
      <c r="B233" s="93" t="str">
        <f>Unidades!B225</f>
        <v>T5</v>
      </c>
      <c r="C233" s="93" t="str">
        <f>Unidades!C225</f>
        <v>Fase 2</v>
      </c>
      <c r="D233" s="76">
        <f>Unidades!R225</f>
        <v>936.99</v>
      </c>
      <c r="E233" s="94" t="s">
        <v>627</v>
      </c>
      <c r="F233" s="94" t="s">
        <v>623</v>
      </c>
      <c r="G233" s="94" t="s">
        <v>618</v>
      </c>
      <c r="H233" s="94" t="s">
        <v>624</v>
      </c>
      <c r="I233" s="94" t="s">
        <v>625</v>
      </c>
      <c r="J233" s="95">
        <f t="shared" si="3"/>
        <v>0</v>
      </c>
      <c r="K233" s="96" t="s">
        <v>639</v>
      </c>
      <c r="L233" s="69"/>
    </row>
    <row r="234" spans="1:12" x14ac:dyDescent="0.25">
      <c r="A234" s="92" t="str">
        <f>Unidades!A226</f>
        <v>E-070</v>
      </c>
      <c r="B234" s="93" t="str">
        <f>Unidades!B226</f>
        <v>T5</v>
      </c>
      <c r="C234" s="93" t="str">
        <f>Unidades!C226</f>
        <v>Fase 2</v>
      </c>
      <c r="D234" s="76">
        <f>Unidades!R226</f>
        <v>865.64</v>
      </c>
      <c r="E234" s="94" t="s">
        <v>622</v>
      </c>
      <c r="F234" s="94" t="s">
        <v>617</v>
      </c>
      <c r="G234" s="94" t="s">
        <v>629</v>
      </c>
      <c r="H234" s="94" t="s">
        <v>624</v>
      </c>
      <c r="I234" s="94" t="s">
        <v>620</v>
      </c>
      <c r="J234" s="95">
        <f t="shared" si="3"/>
        <v>4.0000000000000008E-2</v>
      </c>
      <c r="K234" s="96" t="s">
        <v>639</v>
      </c>
      <c r="L234" s="69"/>
    </row>
    <row r="235" spans="1:12" x14ac:dyDescent="0.25">
      <c r="A235" s="92" t="str">
        <f>Unidades!A227</f>
        <v>E-071</v>
      </c>
      <c r="B235" s="93" t="str">
        <f>Unidades!B227</f>
        <v>T5</v>
      </c>
      <c r="C235" s="93" t="str">
        <f>Unidades!C227</f>
        <v>Fase 2</v>
      </c>
      <c r="D235" s="76">
        <f>Unidades!R227</f>
        <v>684.97</v>
      </c>
      <c r="E235" s="94" t="s">
        <v>627</v>
      </c>
      <c r="F235" s="94" t="s">
        <v>623</v>
      </c>
      <c r="G235" s="94" t="s">
        <v>629</v>
      </c>
      <c r="H235" s="94" t="s">
        <v>624</v>
      </c>
      <c r="I235" s="94" t="s">
        <v>625</v>
      </c>
      <c r="J235" s="95">
        <f t="shared" si="3"/>
        <v>-0.03</v>
      </c>
      <c r="K235" s="96" t="s">
        <v>639</v>
      </c>
      <c r="L235" s="69"/>
    </row>
    <row r="236" spans="1:12" x14ac:dyDescent="0.25">
      <c r="A236" s="92" t="str">
        <f>Unidades!A228</f>
        <v>E-072</v>
      </c>
      <c r="B236" s="93" t="str">
        <f>Unidades!B228</f>
        <v>T5</v>
      </c>
      <c r="C236" s="93" t="str">
        <f>Unidades!C228</f>
        <v>Fase 2</v>
      </c>
      <c r="D236" s="76">
        <f>Unidades!R228</f>
        <v>680.29</v>
      </c>
      <c r="E236" s="94" t="s">
        <v>622</v>
      </c>
      <c r="F236" s="94" t="s">
        <v>628</v>
      </c>
      <c r="G236" s="94" t="s">
        <v>624</v>
      </c>
      <c r="H236" s="94" t="s">
        <v>619</v>
      </c>
      <c r="I236" s="94" t="s">
        <v>625</v>
      </c>
      <c r="J236" s="95">
        <f t="shared" si="3"/>
        <v>1.9999999999999997E-2</v>
      </c>
      <c r="K236" s="96" t="s">
        <v>639</v>
      </c>
      <c r="L236" s="69"/>
    </row>
    <row r="237" spans="1:12" x14ac:dyDescent="0.25">
      <c r="A237" s="92" t="str">
        <f>Unidades!A229</f>
        <v>E-073</v>
      </c>
      <c r="B237" s="93" t="str">
        <f>Unidades!B229</f>
        <v>T5</v>
      </c>
      <c r="C237" s="93" t="str">
        <f>Unidades!C229</f>
        <v>Fase 2</v>
      </c>
      <c r="D237" s="76">
        <f>Unidades!R229</f>
        <v>611.85</v>
      </c>
      <c r="E237" s="94" t="s">
        <v>627</v>
      </c>
      <c r="F237" s="94" t="s">
        <v>623</v>
      </c>
      <c r="G237" s="94" t="s">
        <v>618</v>
      </c>
      <c r="H237" s="94" t="s">
        <v>619</v>
      </c>
      <c r="I237" s="94" t="s">
        <v>625</v>
      </c>
      <c r="J237" s="95">
        <f t="shared" si="3"/>
        <v>0.02</v>
      </c>
      <c r="K237" s="96" t="s">
        <v>639</v>
      </c>
      <c r="L237" s="69"/>
    </row>
    <row r="238" spans="1:12" x14ac:dyDescent="0.25">
      <c r="A238" s="92" t="str">
        <f>Unidades!A230</f>
        <v>E-074</v>
      </c>
      <c r="B238" s="93" t="str">
        <f>Unidades!B230</f>
        <v>T5</v>
      </c>
      <c r="C238" s="93" t="str">
        <f>Unidades!C230</f>
        <v>Fase 2</v>
      </c>
      <c r="D238" s="76">
        <f>Unidades!R230</f>
        <v>670.33</v>
      </c>
      <c r="E238" s="94" t="s">
        <v>622</v>
      </c>
      <c r="F238" s="94" t="s">
        <v>623</v>
      </c>
      <c r="G238" s="94" t="s">
        <v>624</v>
      </c>
      <c r="H238" s="94" t="s">
        <v>624</v>
      </c>
      <c r="I238" s="94" t="s">
        <v>625</v>
      </c>
      <c r="J238" s="95">
        <f t="shared" si="3"/>
        <v>1.9999999999999997E-2</v>
      </c>
      <c r="K238" s="96" t="s">
        <v>639</v>
      </c>
      <c r="L238" s="69"/>
    </row>
    <row r="239" spans="1:12" x14ac:dyDescent="0.25">
      <c r="A239" s="92" t="str">
        <f>Unidades!A231</f>
        <v>E-075</v>
      </c>
      <c r="B239" s="93" t="str">
        <f>Unidades!B231</f>
        <v>T5</v>
      </c>
      <c r="C239" s="93" t="str">
        <f>Unidades!C231</f>
        <v>Fase 2</v>
      </c>
      <c r="D239" s="76">
        <f>Unidades!R231</f>
        <v>658.73</v>
      </c>
      <c r="E239" s="94" t="s">
        <v>622</v>
      </c>
      <c r="F239" s="94" t="s">
        <v>623</v>
      </c>
      <c r="G239" s="94" t="s">
        <v>624</v>
      </c>
      <c r="H239" s="94" t="s">
        <v>624</v>
      </c>
      <c r="I239" s="94" t="s">
        <v>625</v>
      </c>
      <c r="J239" s="95">
        <f t="shared" si="3"/>
        <v>1.9999999999999997E-2</v>
      </c>
      <c r="K239" s="96" t="s">
        <v>639</v>
      </c>
      <c r="L239" s="69"/>
    </row>
    <row r="240" spans="1:12" x14ac:dyDescent="0.25">
      <c r="A240" s="92" t="str">
        <f>Unidades!A232</f>
        <v>E-076</v>
      </c>
      <c r="B240" s="93" t="str">
        <f>Unidades!B232</f>
        <v>T5</v>
      </c>
      <c r="C240" s="93" t="str">
        <f>Unidades!C232</f>
        <v>Fase 2</v>
      </c>
      <c r="D240" s="76">
        <f>Unidades!R232</f>
        <v>700.16</v>
      </c>
      <c r="E240" s="94" t="s">
        <v>627</v>
      </c>
      <c r="F240" s="94" t="s">
        <v>623</v>
      </c>
      <c r="G240" s="94" t="s">
        <v>618</v>
      </c>
      <c r="H240" s="94" t="s">
        <v>624</v>
      </c>
      <c r="I240" s="94" t="s">
        <v>625</v>
      </c>
      <c r="J240" s="95">
        <f t="shared" si="3"/>
        <v>0</v>
      </c>
      <c r="K240" s="96" t="s">
        <v>639</v>
      </c>
      <c r="L240" s="69"/>
    </row>
    <row r="241" spans="1:12" x14ac:dyDescent="0.25">
      <c r="A241" s="92" t="str">
        <f>Unidades!A233</f>
        <v>E-077</v>
      </c>
      <c r="B241" s="93" t="str">
        <f>Unidades!B233</f>
        <v>T5</v>
      </c>
      <c r="C241" s="93" t="str">
        <f>Unidades!C233</f>
        <v>Fase 2</v>
      </c>
      <c r="D241" s="76">
        <f>Unidades!R233</f>
        <v>643.6</v>
      </c>
      <c r="E241" s="94" t="s">
        <v>622</v>
      </c>
      <c r="F241" s="94" t="s">
        <v>617</v>
      </c>
      <c r="G241" s="94" t="s">
        <v>618</v>
      </c>
      <c r="H241" s="94" t="s">
        <v>624</v>
      </c>
      <c r="I241" s="94" t="s">
        <v>620</v>
      </c>
      <c r="J241" s="95">
        <f t="shared" si="3"/>
        <v>7.0000000000000007E-2</v>
      </c>
      <c r="K241" s="96" t="s">
        <v>639</v>
      </c>
      <c r="L241" s="69"/>
    </row>
    <row r="242" spans="1:12" x14ac:dyDescent="0.25">
      <c r="A242" s="92" t="str">
        <f>Unidades!A234</f>
        <v>E-078</v>
      </c>
      <c r="B242" s="93" t="str">
        <f>Unidades!B234</f>
        <v>T5</v>
      </c>
      <c r="C242" s="93" t="str">
        <f>Unidades!C234</f>
        <v>Fase 2</v>
      </c>
      <c r="D242" s="76">
        <f>Unidades!R234</f>
        <v>644.4</v>
      </c>
      <c r="E242" s="94" t="s">
        <v>622</v>
      </c>
      <c r="F242" s="94" t="s">
        <v>617</v>
      </c>
      <c r="G242" s="94" t="s">
        <v>629</v>
      </c>
      <c r="H242" s="94" t="s">
        <v>624</v>
      </c>
      <c r="I242" s="94" t="s">
        <v>625</v>
      </c>
      <c r="J242" s="95">
        <f t="shared" si="3"/>
        <v>2.0000000000000004E-2</v>
      </c>
      <c r="K242" s="96" t="s">
        <v>639</v>
      </c>
      <c r="L242" s="69"/>
    </row>
    <row r="243" spans="1:12" x14ac:dyDescent="0.25">
      <c r="A243" s="92" t="str">
        <f>Unidades!A235</f>
        <v>E-079</v>
      </c>
      <c r="B243" s="93" t="str">
        <f>Unidades!B235</f>
        <v>T5</v>
      </c>
      <c r="C243" s="93" t="str">
        <f>Unidades!C235</f>
        <v>Fase 2</v>
      </c>
      <c r="D243" s="76">
        <f>Unidades!R235</f>
        <v>656.97</v>
      </c>
      <c r="E243" s="94" t="s">
        <v>622</v>
      </c>
      <c r="F243" s="94" t="s">
        <v>623</v>
      </c>
      <c r="G243" s="94" t="s">
        <v>618</v>
      </c>
      <c r="H243" s="94" t="s">
        <v>619</v>
      </c>
      <c r="I243" s="94" t="s">
        <v>625</v>
      </c>
      <c r="J243" s="95">
        <f t="shared" si="3"/>
        <v>0.05</v>
      </c>
      <c r="K243" s="96" t="s">
        <v>639</v>
      </c>
      <c r="L243" s="69"/>
    </row>
  </sheetData>
  <mergeCells count="1">
    <mergeCell ref="A2:P2"/>
  </mergeCells>
  <dataValidations count="5">
    <dataValidation type="list" allowBlank="1" sqref="E11:E243" xr:uid="{00000000-0002-0000-0400-000000000000}">
      <formula1>$A$5:$A$7</formula1>
      <formula2>0</formula2>
    </dataValidation>
    <dataValidation type="list" allowBlank="1" sqref="F11:F243" xr:uid="{00000000-0002-0000-0400-000001000000}">
      <formula1>$D$5:$D$7</formula1>
      <formula2>0</formula2>
    </dataValidation>
    <dataValidation type="list" allowBlank="1" sqref="G11:G243" xr:uid="{00000000-0002-0000-0400-000002000000}">
      <formula1>$G$5:$G$7</formula1>
      <formula2>0</formula2>
    </dataValidation>
    <dataValidation type="list" allowBlank="1" sqref="H11:H243" xr:uid="{00000000-0002-0000-0400-000003000000}">
      <formula1>$J$5:$J$7</formula1>
      <formula2>0</formula2>
    </dataValidation>
    <dataValidation type="list" allowBlank="1" sqref="I11:I243" xr:uid="{00000000-0002-0000-0400-000004000000}">
      <formula1>$M$5:$M$7</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D32"/>
  </sheetPr>
  <dimension ref="A1:Z247"/>
  <sheetViews>
    <sheetView zoomScale="90" zoomScaleNormal="90" workbookViewId="0">
      <pane ySplit="13" topLeftCell="A17" activePane="bottomLeft" state="frozen"/>
      <selection pane="bottomLeft" activeCell="L14" sqref="L14"/>
    </sheetView>
  </sheetViews>
  <sheetFormatPr baseColWidth="10" defaultColWidth="8.7109375" defaultRowHeight="15" x14ac:dyDescent="0.25"/>
  <cols>
    <col min="1" max="1" width="14" customWidth="1"/>
    <col min="2" max="2" width="10" customWidth="1"/>
    <col min="3" max="3" width="9" customWidth="1"/>
    <col min="4" max="6" width="11" customWidth="1"/>
    <col min="7" max="7" width="10" customWidth="1"/>
    <col min="8" max="8" width="14" customWidth="1"/>
    <col min="9" max="9" width="11" customWidth="1"/>
    <col min="10" max="10" width="14" customWidth="1"/>
    <col min="11" max="11" width="12" customWidth="1"/>
    <col min="12" max="13" width="15" customWidth="1"/>
    <col min="14" max="14" width="13" customWidth="1"/>
    <col min="15" max="15" width="10" customWidth="1"/>
    <col min="16" max="16" width="13" customWidth="1"/>
    <col min="17" max="17" width="3" customWidth="1"/>
    <col min="18" max="18" width="10" customWidth="1"/>
    <col min="19" max="19" width="6" customWidth="1"/>
    <col min="20" max="21" width="14" customWidth="1"/>
    <col min="22" max="24" width="15" customWidth="1"/>
    <col min="25" max="25" width="13" customWidth="1"/>
    <col min="26" max="26" width="9" customWidth="1"/>
  </cols>
  <sheetData>
    <row r="1" spans="1:26" ht="18" x14ac:dyDescent="0.25">
      <c r="A1" s="62" t="s">
        <v>640</v>
      </c>
    </row>
    <row r="2" spans="1:26" ht="42" customHeight="1" x14ac:dyDescent="0.25">
      <c r="A2" s="124" t="s">
        <v>641</v>
      </c>
      <c r="B2" s="124"/>
      <c r="C2" s="124"/>
      <c r="D2" s="124"/>
      <c r="E2" s="124"/>
      <c r="F2" s="124"/>
      <c r="G2" s="124"/>
      <c r="H2" s="124"/>
      <c r="I2" s="124"/>
      <c r="J2" s="124"/>
      <c r="K2" s="124"/>
      <c r="L2" s="124"/>
      <c r="M2" s="124"/>
      <c r="N2" s="124"/>
      <c r="O2" s="124"/>
      <c r="P2" s="124"/>
    </row>
    <row r="4" spans="1:26" x14ac:dyDescent="0.25">
      <c r="A4" s="63" t="s">
        <v>642</v>
      </c>
      <c r="R4" s="63" t="s">
        <v>643</v>
      </c>
    </row>
    <row r="5" spans="1:26" ht="31.5" customHeight="1" x14ac:dyDescent="0.25">
      <c r="A5" s="67" t="s">
        <v>586</v>
      </c>
      <c r="B5" s="67" t="s">
        <v>587</v>
      </c>
      <c r="C5" s="67" t="s">
        <v>644</v>
      </c>
      <c r="D5" s="67" t="s">
        <v>645</v>
      </c>
      <c r="E5" s="67" t="s">
        <v>646</v>
      </c>
      <c r="G5" s="127" t="s">
        <v>647</v>
      </c>
      <c r="H5" s="127"/>
      <c r="I5" s="127"/>
      <c r="J5" s="127"/>
      <c r="K5" s="67" t="s">
        <v>648</v>
      </c>
      <c r="R5" s="67" t="s">
        <v>586</v>
      </c>
      <c r="S5" s="67" t="s">
        <v>649</v>
      </c>
      <c r="T5" s="67" t="s">
        <v>650</v>
      </c>
      <c r="U5" s="67" t="s">
        <v>651</v>
      </c>
      <c r="V5" s="67" t="s">
        <v>652</v>
      </c>
      <c r="W5" s="67" t="s">
        <v>653</v>
      </c>
      <c r="X5" s="67" t="s">
        <v>654</v>
      </c>
      <c r="Y5" s="67" t="s">
        <v>655</v>
      </c>
      <c r="Z5" s="67" t="s">
        <v>656</v>
      </c>
    </row>
    <row r="6" spans="1:26" x14ac:dyDescent="0.25">
      <c r="A6" s="68" t="s">
        <v>67</v>
      </c>
      <c r="B6" s="92" t="str">
        <f>IFERROR(VLOOKUP(A6,Tipologias!$A$4:$B$8,2,0),"")</f>
        <v>VILLA A</v>
      </c>
      <c r="C6" s="97">
        <v>800</v>
      </c>
      <c r="D6" s="98">
        <f>ROUND(VLOOKUP(A6,Tipologias!$A$4:$V$8,9,0)*Precios!$B$6+VLOOKUP(A6,Tipologias!$A$4:$V$8,10,0)*Precios!$B$7+C6*Precios!$B$5,-3)</f>
        <v>702000</v>
      </c>
      <c r="E6" s="99">
        <f>D6</f>
        <v>702000</v>
      </c>
      <c r="G6" s="128" t="s">
        <v>657</v>
      </c>
      <c r="H6" s="128"/>
      <c r="I6" s="128"/>
      <c r="J6" s="128"/>
      <c r="K6" s="65">
        <v>12</v>
      </c>
      <c r="R6" s="68" t="s">
        <v>67</v>
      </c>
      <c r="S6" s="70">
        <f>COUNTIF($B$14:$B$246,R6)</f>
        <v>32</v>
      </c>
      <c r="T6" s="100">
        <f>_xlfn.MINIFS($L$14:$L$246,$B$14:$B$246,R6)</f>
        <v>682000</v>
      </c>
      <c r="U6" s="100">
        <f>_xlfn.MAXIFS($L$14:$L$246,$B$14:$B$246,R6)</f>
        <v>779000</v>
      </c>
      <c r="V6" s="100">
        <f>IFERROR(AVERAGEIF($B$14:$B$246,R6,$L$14:$L$246),"")</f>
        <v>721375</v>
      </c>
      <c r="W6" s="101">
        <f>SUMIF($B$14:$B$246,R6,$L$14:$L$246)</f>
        <v>23084000</v>
      </c>
      <c r="X6" s="100">
        <f>SUMIF($B$14:$B$246,R6,$M$14:$M$246)</f>
        <v>22519012.600000001</v>
      </c>
      <c r="Y6" s="100">
        <f t="shared" ref="Y6:Y11" si="0">W6-X6</f>
        <v>564987.39999999851</v>
      </c>
      <c r="Z6" s="102">
        <f t="shared" ref="Z6:Z11" si="1">IFERROR(Y6/X6,"")</f>
        <v>2.5089350498431643E-2</v>
      </c>
    </row>
    <row r="7" spans="1:26" x14ac:dyDescent="0.25">
      <c r="A7" s="68" t="s">
        <v>74</v>
      </c>
      <c r="B7" s="92" t="str">
        <f>IFERROR(VLOOKUP(A7,Tipologias!$A$4:$B$8,2,0),"")</f>
        <v>VILLA B</v>
      </c>
      <c r="C7" s="97">
        <v>800</v>
      </c>
      <c r="D7" s="98">
        <f>ROUND(VLOOKUP(A7,Tipologias!$A$4:$V$8,9,0)*Precios!$B$6+VLOOKUP(A7,Tipologias!$A$4:$V$8,10,0)*Precios!$B$7+C7*Precios!$B$5,-3)</f>
        <v>427000</v>
      </c>
      <c r="E7" s="99">
        <f>D7</f>
        <v>427000</v>
      </c>
      <c r="G7" s="128" t="s">
        <v>658</v>
      </c>
      <c r="H7" s="128"/>
      <c r="I7" s="128"/>
      <c r="J7" s="128"/>
      <c r="K7" s="65">
        <v>0</v>
      </c>
      <c r="R7" s="68" t="s">
        <v>74</v>
      </c>
      <c r="S7" s="70">
        <f>COUNTIF($B$14:$B$246,R7)</f>
        <v>14</v>
      </c>
      <c r="T7" s="100">
        <f>_xlfn.MINIFS($L$14:$L$246,$B$14:$B$246,R7)</f>
        <v>418000</v>
      </c>
      <c r="U7" s="100">
        <f>_xlfn.MAXIFS($L$14:$L$246,$B$14:$B$246,R7)</f>
        <v>465000</v>
      </c>
      <c r="V7" s="100">
        <f>IFERROR(AVERAGEIF($B$14:$B$246,R7,$L$14:$L$246),"")</f>
        <v>445000</v>
      </c>
      <c r="W7" s="101">
        <f>SUMIF($B$14:$B$246,R7,$L$14:$L$246)</f>
        <v>6230000</v>
      </c>
      <c r="X7" s="100">
        <f>SUMIF($B$14:$B$246,R7,$M$14:$M$246)</f>
        <v>5984283.5</v>
      </c>
      <c r="Y7" s="100">
        <f t="shared" si="0"/>
        <v>245716.5</v>
      </c>
      <c r="Z7" s="102">
        <f t="shared" si="1"/>
        <v>4.1060304044753228E-2</v>
      </c>
    </row>
    <row r="8" spans="1:26" x14ac:dyDescent="0.25">
      <c r="A8" s="68" t="s">
        <v>78</v>
      </c>
      <c r="B8" s="92" t="str">
        <f>IFERROR(VLOOKUP(A8,Tipologias!$A$4:$B$8,2,0),"")</f>
        <v>VILLA C</v>
      </c>
      <c r="C8" s="97">
        <v>800</v>
      </c>
      <c r="D8" s="98">
        <f>ROUND(VLOOKUP(A8,Tipologias!$A$4:$V$8,9,0)*Precios!$B$6+VLOOKUP(A8,Tipologias!$A$4:$V$8,10,0)*Precios!$B$7+C8*Precios!$B$5,-3)</f>
        <v>351000</v>
      </c>
      <c r="E8" s="99">
        <f>D8</f>
        <v>351000</v>
      </c>
      <c r="G8" s="128" t="s">
        <v>659</v>
      </c>
      <c r="H8" s="128"/>
      <c r="I8" s="128"/>
      <c r="J8" s="128"/>
      <c r="K8" s="65">
        <v>1000</v>
      </c>
      <c r="R8" s="68" t="s">
        <v>78</v>
      </c>
      <c r="S8" s="70">
        <f>COUNTIF($B$14:$B$246,R8)</f>
        <v>24</v>
      </c>
      <c r="T8" s="100">
        <f>_xlfn.MINIFS($L$14:$L$246,$B$14:$B$246,R8)</f>
        <v>343000</v>
      </c>
      <c r="U8" s="100">
        <f>_xlfn.MAXIFS($L$14:$L$246,$B$14:$B$246,R8)</f>
        <v>386000</v>
      </c>
      <c r="V8" s="100">
        <f>IFERROR(AVERAGEIF($B$14:$B$246,R8,$L$14:$L$246),"")</f>
        <v>362708.33333333331</v>
      </c>
      <c r="W8" s="101">
        <f>SUMIF($B$14:$B$246,R8,$L$14:$L$246)</f>
        <v>8705000</v>
      </c>
      <c r="X8" s="100">
        <f>SUMIF($B$14:$B$246,R8,$M$14:$M$246)</f>
        <v>8542252.8000000007</v>
      </c>
      <c r="Y8" s="100">
        <f t="shared" si="0"/>
        <v>162747.19999999925</v>
      </c>
      <c r="Z8" s="102">
        <f t="shared" si="1"/>
        <v>1.9052023372569733E-2</v>
      </c>
    </row>
    <row r="9" spans="1:26" x14ac:dyDescent="0.25">
      <c r="A9" s="68" t="s">
        <v>82</v>
      </c>
      <c r="B9" s="92" t="str">
        <f>IFERROR(VLOOKUP(A9,Tipologias!$A$4:$B$8,2,0),"")</f>
        <v>VILLA D</v>
      </c>
      <c r="C9" s="97">
        <v>600</v>
      </c>
      <c r="D9" s="98">
        <f>ROUND(VLOOKUP(A9,Tipologias!$A$4:$V$8,9,0)*Precios!$B$6+VLOOKUP(A9,Tipologias!$A$4:$V$8,10,0)*Precios!$B$7+C9*Precios!$B$5,-3)</f>
        <v>257000</v>
      </c>
      <c r="E9" s="99">
        <f>D9</f>
        <v>257000</v>
      </c>
      <c r="R9" s="68" t="s">
        <v>82</v>
      </c>
      <c r="S9" s="70">
        <f>COUNTIF($B$14:$B$246,R9)</f>
        <v>84</v>
      </c>
      <c r="T9" s="100">
        <f>_xlfn.MINIFS($L$14:$L$246,$B$14:$B$246,R9)</f>
        <v>242000</v>
      </c>
      <c r="U9" s="100">
        <f>_xlfn.MAXIFS($L$14:$L$246,$B$14:$B$246,R9)</f>
        <v>293000</v>
      </c>
      <c r="V9" s="100">
        <f>IFERROR(AVERAGEIF($B$14:$B$246,R9,$L$14:$L$246),"")</f>
        <v>267559.52380952379</v>
      </c>
      <c r="W9" s="101">
        <f>SUMIF($B$14:$B$246,R9,$L$14:$L$246)</f>
        <v>22475000</v>
      </c>
      <c r="X9" s="100">
        <f>SUMIF($B$14:$B$246,R9,$M$14:$M$246)</f>
        <v>22077591.59999999</v>
      </c>
      <c r="Y9" s="100">
        <f t="shared" si="0"/>
        <v>397408.40000000969</v>
      </c>
      <c r="Z9" s="102">
        <f t="shared" si="1"/>
        <v>1.8000532268203105E-2</v>
      </c>
    </row>
    <row r="10" spans="1:26" x14ac:dyDescent="0.25">
      <c r="A10" s="68" t="s">
        <v>87</v>
      </c>
      <c r="B10" s="92" t="str">
        <f>IFERROR(VLOOKUP(A10,Tipologias!$A$4:$B$8,2,0),"")</f>
        <v>VILLA E</v>
      </c>
      <c r="C10" s="97">
        <v>600</v>
      </c>
      <c r="D10" s="98">
        <f>ROUND(VLOOKUP(A10,Tipologias!$A$4:$V$8,9,0)*Precios!$B$6+VLOOKUP(A10,Tipologias!$A$4:$V$8,10,0)*Precios!$B$7+C10*Precios!$B$5,-3)</f>
        <v>329000</v>
      </c>
      <c r="E10" s="99">
        <f>D10</f>
        <v>329000</v>
      </c>
      <c r="R10" s="68" t="s">
        <v>87</v>
      </c>
      <c r="S10" s="70">
        <f>COUNTIF($B$14:$B$246,R10)</f>
        <v>79</v>
      </c>
      <c r="T10" s="100">
        <f>_xlfn.MINIFS($L$14:$L$246,$B$14:$B$246,R10)</f>
        <v>314000</v>
      </c>
      <c r="U10" s="100">
        <f>_xlfn.MAXIFS($L$14:$L$246,$B$14:$B$246,R10)</f>
        <v>369000</v>
      </c>
      <c r="V10" s="100">
        <f>IFERROR(AVERAGEIF($B$14:$B$246,R10,$L$14:$L$246),"")</f>
        <v>339227.84810126584</v>
      </c>
      <c r="W10" s="101">
        <f>SUMIF($B$14:$B$246,R10,$L$14:$L$246)</f>
        <v>26799000</v>
      </c>
      <c r="X10" s="100">
        <f>SUMIF($B$14:$B$246,R10,$M$14:$M$246)</f>
        <v>26176075.800000004</v>
      </c>
      <c r="Y10" s="100">
        <f t="shared" si="0"/>
        <v>622924.19999999553</v>
      </c>
      <c r="Z10" s="102">
        <f t="shared" si="1"/>
        <v>2.379746317818943E-2</v>
      </c>
    </row>
    <row r="11" spans="1:26" x14ac:dyDescent="0.25">
      <c r="R11" s="78" t="s">
        <v>91</v>
      </c>
      <c r="S11" s="79">
        <f>SUM(S6:S10)</f>
        <v>233</v>
      </c>
      <c r="T11" s="103">
        <f>MIN($L$14:$L$246)</f>
        <v>242000</v>
      </c>
      <c r="U11" s="103">
        <f>MAX($L$14:$L$246)</f>
        <v>779000</v>
      </c>
      <c r="V11" s="103">
        <f>AVERAGE($L$14:$L$246)</f>
        <v>374648.06866952789</v>
      </c>
      <c r="W11" s="104">
        <f>SUM($L$14:$L$246)</f>
        <v>87293000</v>
      </c>
      <c r="X11" s="103">
        <f>SUM($M$14:$M$246)</f>
        <v>85299216.300000012</v>
      </c>
      <c r="Y11" s="103">
        <f t="shared" si="0"/>
        <v>1993783.6999999881</v>
      </c>
      <c r="Z11" s="105">
        <f t="shared" si="1"/>
        <v>2.3373997868723535E-2</v>
      </c>
    </row>
    <row r="13" spans="1:26" ht="31.5" customHeight="1" x14ac:dyDescent="0.25">
      <c r="A13" s="67" t="s">
        <v>96</v>
      </c>
      <c r="B13" s="67" t="s">
        <v>97</v>
      </c>
      <c r="C13" s="67" t="s">
        <v>98</v>
      </c>
      <c r="D13" s="67" t="s">
        <v>109</v>
      </c>
      <c r="E13" s="67" t="s">
        <v>644</v>
      </c>
      <c r="F13" s="67" t="s">
        <v>660</v>
      </c>
      <c r="G13" s="67" t="s">
        <v>661</v>
      </c>
      <c r="H13" s="67" t="s">
        <v>662</v>
      </c>
      <c r="I13" s="67" t="s">
        <v>663</v>
      </c>
      <c r="J13" s="67" t="s">
        <v>664</v>
      </c>
      <c r="K13" s="67" t="s">
        <v>665</v>
      </c>
      <c r="L13" s="73" t="s">
        <v>666</v>
      </c>
      <c r="M13" s="67" t="s">
        <v>667</v>
      </c>
      <c r="N13" s="67" t="s">
        <v>668</v>
      </c>
      <c r="O13" s="67" t="s">
        <v>669</v>
      </c>
      <c r="P13" s="67" t="s">
        <v>670</v>
      </c>
      <c r="R13" s="83" t="s">
        <v>603</v>
      </c>
    </row>
    <row r="14" spans="1:26" x14ac:dyDescent="0.25">
      <c r="A14" s="92" t="str">
        <f>Lotes!A11</f>
        <v>A-001</v>
      </c>
      <c r="B14" s="93" t="str">
        <f>Lotes!B11</f>
        <v>T1</v>
      </c>
      <c r="C14" s="93" t="str">
        <f>Lotes!C11</f>
        <v>Fase 4</v>
      </c>
      <c r="D14" s="76">
        <f>Lotes!D11</f>
        <v>1004.58</v>
      </c>
      <c r="E14" s="106">
        <f t="shared" ref="E14:E77" si="2">IFERROR(VLOOKUP(B14,$A$6:$E$10,3,0),"")</f>
        <v>800</v>
      </c>
      <c r="F14" s="71">
        <f t="shared" ref="F14:F77" si="3">IF(E14="","",MAX(0,D14-E14))</f>
        <v>204.58000000000004</v>
      </c>
      <c r="G14" s="71">
        <f t="shared" ref="G14:G77" si="4">IF(E14="","",MAX(0,E14-D14))</f>
        <v>0</v>
      </c>
      <c r="H14" s="100">
        <f t="shared" ref="H14:H77" si="5">IFERROR(VLOOKUP(B14,$A$6:$E$10,5,0),"")</f>
        <v>702000</v>
      </c>
      <c r="I14" s="107">
        <f>Lotes!J11</f>
        <v>0.08</v>
      </c>
      <c r="J14" s="100">
        <f t="shared" ref="J14:J77" si="6">IF(H14="","",H14*(1+I14))</f>
        <v>758160</v>
      </c>
      <c r="K14" s="100">
        <f t="shared" ref="K14:K77" si="7">IF(E14="","",F14*$K$6-G14*$K$7)</f>
        <v>2454.9600000000005</v>
      </c>
      <c r="L14" s="52">
        <f t="shared" ref="L14:L77" si="8">IF(J14="","",ROUND((J14+K14)/$K$8,0)*$K$8)</f>
        <v>761000</v>
      </c>
      <c r="M14" s="108">
        <f>Precios!J10</f>
        <v>707704.7</v>
      </c>
      <c r="N14" s="100">
        <f t="shared" ref="N14:N77" si="9">IF(OR(L14="",M14=""),"",L14-M14)</f>
        <v>53295.300000000047</v>
      </c>
      <c r="O14" s="102">
        <f t="shared" ref="O14:O77" si="10">IFERROR(N14/M14,"")</f>
        <v>7.5307257391395099E-2</v>
      </c>
      <c r="P14" s="77">
        <f>IFERROR(L14/(Precios!D10+Precios!E10),"")</f>
        <v>1826.679116569012</v>
      </c>
      <c r="R14" s="84"/>
      <c r="S14" s="85" t="s">
        <v>671</v>
      </c>
    </row>
    <row r="15" spans="1:26" x14ac:dyDescent="0.25">
      <c r="A15" s="92" t="str">
        <f>Lotes!A12</f>
        <v>A-002</v>
      </c>
      <c r="B15" s="93" t="str">
        <f>Lotes!B12</f>
        <v>T1</v>
      </c>
      <c r="C15" s="93" t="str">
        <f>Lotes!C12</f>
        <v>Fase 4</v>
      </c>
      <c r="D15" s="76">
        <f>Lotes!D12</f>
        <v>1067.4000000000001</v>
      </c>
      <c r="E15" s="106">
        <f t="shared" si="2"/>
        <v>800</v>
      </c>
      <c r="F15" s="71">
        <f t="shared" si="3"/>
        <v>267.40000000000009</v>
      </c>
      <c r="G15" s="71">
        <f t="shared" si="4"/>
        <v>0</v>
      </c>
      <c r="H15" s="100">
        <f t="shared" si="5"/>
        <v>702000</v>
      </c>
      <c r="I15" s="107">
        <f>Lotes!J12</f>
        <v>6.0000000000000005E-2</v>
      </c>
      <c r="J15" s="100">
        <f t="shared" si="6"/>
        <v>744120</v>
      </c>
      <c r="K15" s="100">
        <f t="shared" si="7"/>
        <v>3208.8000000000011</v>
      </c>
      <c r="L15" s="52">
        <f t="shared" si="8"/>
        <v>747000</v>
      </c>
      <c r="M15" s="108">
        <f>Precios!J11</f>
        <v>709589.29999999993</v>
      </c>
      <c r="N15" s="100">
        <f t="shared" si="9"/>
        <v>37410.70000000007</v>
      </c>
      <c r="O15" s="102">
        <f t="shared" si="10"/>
        <v>5.2721623620874881E-2</v>
      </c>
      <c r="P15" s="77">
        <f>IFERROR(L15/(Precios!D11+Precios!E11),"")</f>
        <v>1793.0739817044046</v>
      </c>
      <c r="R15" s="87"/>
      <c r="S15" s="85" t="s">
        <v>672</v>
      </c>
    </row>
    <row r="16" spans="1:26" x14ac:dyDescent="0.25">
      <c r="A16" s="92" t="str">
        <f>Lotes!A13</f>
        <v>A-003</v>
      </c>
      <c r="B16" s="93" t="str">
        <f>Lotes!B13</f>
        <v>T1</v>
      </c>
      <c r="C16" s="93" t="str">
        <f>Lotes!C13</f>
        <v>Fase 4</v>
      </c>
      <c r="D16" s="76">
        <f>Lotes!D13</f>
        <v>772.2</v>
      </c>
      <c r="E16" s="106">
        <f t="shared" si="2"/>
        <v>800</v>
      </c>
      <c r="F16" s="71">
        <f t="shared" si="3"/>
        <v>0</v>
      </c>
      <c r="G16" s="71">
        <f t="shared" si="4"/>
        <v>27.799999999999955</v>
      </c>
      <c r="H16" s="100">
        <f t="shared" si="5"/>
        <v>702000</v>
      </c>
      <c r="I16" s="107">
        <f>Lotes!J13</f>
        <v>-0.01</v>
      </c>
      <c r="J16" s="100">
        <f t="shared" si="6"/>
        <v>694980</v>
      </c>
      <c r="K16" s="100">
        <f t="shared" si="7"/>
        <v>0</v>
      </c>
      <c r="L16" s="52">
        <f t="shared" si="8"/>
        <v>695000</v>
      </c>
      <c r="M16" s="108">
        <f>Precios!J12</f>
        <v>700733.29999999993</v>
      </c>
      <c r="N16" s="100">
        <f t="shared" si="9"/>
        <v>-5733.2999999999302</v>
      </c>
      <c r="O16" s="102">
        <f t="shared" si="10"/>
        <v>-8.1818574912879555E-3</v>
      </c>
      <c r="P16" s="77">
        <f>IFERROR(L16/(Precios!D12+Precios!E12),"")</f>
        <v>1668.2549093501489</v>
      </c>
      <c r="R16" s="88"/>
      <c r="S16" s="85" t="s">
        <v>673</v>
      </c>
    </row>
    <row r="17" spans="1:19" x14ac:dyDescent="0.25">
      <c r="A17" s="92" t="str">
        <f>Lotes!A14</f>
        <v>A-004</v>
      </c>
      <c r="B17" s="93" t="str">
        <f>Lotes!B14</f>
        <v>T1</v>
      </c>
      <c r="C17" s="93" t="str">
        <f>Lotes!C14</f>
        <v>Fase 4</v>
      </c>
      <c r="D17" s="76">
        <f>Lotes!D14</f>
        <v>794.87</v>
      </c>
      <c r="E17" s="106">
        <f t="shared" si="2"/>
        <v>800</v>
      </c>
      <c r="F17" s="71">
        <f t="shared" si="3"/>
        <v>0</v>
      </c>
      <c r="G17" s="71">
        <f t="shared" si="4"/>
        <v>5.1299999999999955</v>
      </c>
      <c r="H17" s="100">
        <f t="shared" si="5"/>
        <v>702000</v>
      </c>
      <c r="I17" s="107">
        <f>Lotes!J14</f>
        <v>2.0000000000000004E-2</v>
      </c>
      <c r="J17" s="100">
        <f t="shared" si="6"/>
        <v>716040</v>
      </c>
      <c r="K17" s="100">
        <f t="shared" si="7"/>
        <v>0</v>
      </c>
      <c r="L17" s="52">
        <f t="shared" si="8"/>
        <v>716000</v>
      </c>
      <c r="M17" s="108">
        <f>Precios!J13</f>
        <v>701413.39999999991</v>
      </c>
      <c r="N17" s="100">
        <f t="shared" si="9"/>
        <v>14586.600000000093</v>
      </c>
      <c r="O17" s="102">
        <f t="shared" si="10"/>
        <v>2.0796009885183396E-2</v>
      </c>
      <c r="P17" s="77">
        <f>IFERROR(L17/(Precios!D13+Precios!E13),"")</f>
        <v>1718.66261164706</v>
      </c>
      <c r="R17" s="109"/>
      <c r="S17" s="85" t="s">
        <v>674</v>
      </c>
    </row>
    <row r="18" spans="1:19" x14ac:dyDescent="0.25">
      <c r="A18" s="92" t="str">
        <f>Lotes!A15</f>
        <v>A-005</v>
      </c>
      <c r="B18" s="93" t="str">
        <f>Lotes!B15</f>
        <v>T1</v>
      </c>
      <c r="C18" s="93" t="str">
        <f>Lotes!C15</f>
        <v>Fase 4</v>
      </c>
      <c r="D18" s="76">
        <f>Lotes!D15</f>
        <v>801.89</v>
      </c>
      <c r="E18" s="106">
        <f t="shared" si="2"/>
        <v>800</v>
      </c>
      <c r="F18" s="71">
        <f t="shared" si="3"/>
        <v>1.8899999999999864</v>
      </c>
      <c r="G18" s="71">
        <f t="shared" si="4"/>
        <v>0</v>
      </c>
      <c r="H18" s="100">
        <f t="shared" si="5"/>
        <v>702000</v>
      </c>
      <c r="I18" s="107">
        <f>Lotes!J15</f>
        <v>1.9999999999999997E-2</v>
      </c>
      <c r="J18" s="100">
        <f t="shared" si="6"/>
        <v>716040</v>
      </c>
      <c r="K18" s="100">
        <f t="shared" si="7"/>
        <v>22.679999999999836</v>
      </c>
      <c r="L18" s="52">
        <f t="shared" si="8"/>
        <v>716000</v>
      </c>
      <c r="M18" s="108">
        <f>Precios!J14</f>
        <v>701623.99999999988</v>
      </c>
      <c r="N18" s="100">
        <f t="shared" si="9"/>
        <v>14376.000000000116</v>
      </c>
      <c r="O18" s="102">
        <f t="shared" si="10"/>
        <v>2.0489606968975005E-2</v>
      </c>
      <c r="P18" s="77">
        <f>IFERROR(L18/(Precios!D14+Precios!E14),"")</f>
        <v>1718.66261164706</v>
      </c>
    </row>
    <row r="19" spans="1:19" x14ac:dyDescent="0.25">
      <c r="A19" s="92" t="str">
        <f>Lotes!A16</f>
        <v>A-006</v>
      </c>
      <c r="B19" s="93" t="str">
        <f>Lotes!B16</f>
        <v>T1</v>
      </c>
      <c r="C19" s="93" t="str">
        <f>Lotes!C16</f>
        <v>Fase 4</v>
      </c>
      <c r="D19" s="76">
        <f>Lotes!D16</f>
        <v>828.77</v>
      </c>
      <c r="E19" s="106">
        <f t="shared" si="2"/>
        <v>800</v>
      </c>
      <c r="F19" s="71">
        <f t="shared" si="3"/>
        <v>28.769999999999982</v>
      </c>
      <c r="G19" s="71">
        <f t="shared" si="4"/>
        <v>0</v>
      </c>
      <c r="H19" s="100">
        <f t="shared" si="5"/>
        <v>702000</v>
      </c>
      <c r="I19" s="107">
        <f>Lotes!J16</f>
        <v>-9.9999999999999985E-3</v>
      </c>
      <c r="J19" s="100">
        <f t="shared" si="6"/>
        <v>694980</v>
      </c>
      <c r="K19" s="100">
        <f t="shared" si="7"/>
        <v>345.23999999999978</v>
      </c>
      <c r="L19" s="52">
        <f t="shared" si="8"/>
        <v>695000</v>
      </c>
      <c r="M19" s="108">
        <f>Precios!J15</f>
        <v>702430.39999999991</v>
      </c>
      <c r="N19" s="100">
        <f t="shared" si="9"/>
        <v>-7430.3999999999069</v>
      </c>
      <c r="O19" s="102">
        <f t="shared" si="10"/>
        <v>-1.0578129875927791E-2</v>
      </c>
      <c r="P19" s="77">
        <f>IFERROR(L19/(Precios!D15+Precios!E15),"")</f>
        <v>1668.2549093501489</v>
      </c>
    </row>
    <row r="20" spans="1:19" x14ac:dyDescent="0.25">
      <c r="A20" s="92" t="str">
        <f>Lotes!A17</f>
        <v>A-007</v>
      </c>
      <c r="B20" s="93" t="str">
        <f>Lotes!B17</f>
        <v>T1</v>
      </c>
      <c r="C20" s="93" t="str">
        <f>Lotes!C17</f>
        <v>Fase 4</v>
      </c>
      <c r="D20" s="76">
        <f>Lotes!D17</f>
        <v>788.69</v>
      </c>
      <c r="E20" s="106">
        <f t="shared" si="2"/>
        <v>800</v>
      </c>
      <c r="F20" s="71">
        <f t="shared" si="3"/>
        <v>0</v>
      </c>
      <c r="G20" s="71">
        <f t="shared" si="4"/>
        <v>11.309999999999945</v>
      </c>
      <c r="H20" s="100">
        <f t="shared" si="5"/>
        <v>702000</v>
      </c>
      <c r="I20" s="107">
        <f>Lotes!J17</f>
        <v>1.9999999999999997E-2</v>
      </c>
      <c r="J20" s="100">
        <f t="shared" si="6"/>
        <v>716040</v>
      </c>
      <c r="K20" s="100">
        <f t="shared" si="7"/>
        <v>0</v>
      </c>
      <c r="L20" s="52">
        <f t="shared" si="8"/>
        <v>716000</v>
      </c>
      <c r="M20" s="108">
        <f>Precios!J16</f>
        <v>701227.99999999988</v>
      </c>
      <c r="N20" s="100">
        <f t="shared" si="9"/>
        <v>14772.000000000116</v>
      </c>
      <c r="O20" s="102">
        <f t="shared" si="10"/>
        <v>2.1065901532739878E-2</v>
      </c>
      <c r="P20" s="77">
        <f>IFERROR(L20/(Precios!D16+Precios!E16),"")</f>
        <v>1718.66261164706</v>
      </c>
    </row>
    <row r="21" spans="1:19" x14ac:dyDescent="0.25">
      <c r="A21" s="92" t="str">
        <f>Lotes!A18</f>
        <v>A-008</v>
      </c>
      <c r="B21" s="93" t="str">
        <f>Lotes!B18</f>
        <v>T1</v>
      </c>
      <c r="C21" s="93" t="str">
        <f>Lotes!C18</f>
        <v>Fase 4</v>
      </c>
      <c r="D21" s="76">
        <f>Lotes!D18</f>
        <v>1228.17</v>
      </c>
      <c r="E21" s="106">
        <f t="shared" si="2"/>
        <v>800</v>
      </c>
      <c r="F21" s="71">
        <f t="shared" si="3"/>
        <v>428.17000000000007</v>
      </c>
      <c r="G21" s="71">
        <f t="shared" si="4"/>
        <v>0</v>
      </c>
      <c r="H21" s="100">
        <f t="shared" si="5"/>
        <v>702000</v>
      </c>
      <c r="I21" s="107">
        <f>Lotes!J18</f>
        <v>0</v>
      </c>
      <c r="J21" s="100">
        <f t="shared" si="6"/>
        <v>702000</v>
      </c>
      <c r="K21" s="100">
        <f t="shared" si="7"/>
        <v>5138.0400000000009</v>
      </c>
      <c r="L21" s="52">
        <f t="shared" si="8"/>
        <v>707000</v>
      </c>
      <c r="M21" s="108">
        <f>Precios!J17</f>
        <v>714412.39999999991</v>
      </c>
      <c r="N21" s="100">
        <f t="shared" si="9"/>
        <v>-7412.3999999999069</v>
      </c>
      <c r="O21" s="102">
        <f t="shared" si="10"/>
        <v>-1.0375519797808532E-2</v>
      </c>
      <c r="P21" s="77">
        <f>IFERROR(L21/(Precios!D17+Precios!E17),"")</f>
        <v>1697.0593106626695</v>
      </c>
    </row>
    <row r="22" spans="1:19" x14ac:dyDescent="0.25">
      <c r="A22" s="92" t="str">
        <f>Lotes!A19</f>
        <v>A-009</v>
      </c>
      <c r="B22" s="93" t="str">
        <f>Lotes!B19</f>
        <v>T1</v>
      </c>
      <c r="C22" s="93" t="str">
        <f>Lotes!C19</f>
        <v>Fase 4</v>
      </c>
      <c r="D22" s="76">
        <f>Lotes!D19</f>
        <v>932</v>
      </c>
      <c r="E22" s="106">
        <f t="shared" si="2"/>
        <v>800</v>
      </c>
      <c r="F22" s="71">
        <f t="shared" si="3"/>
        <v>132</v>
      </c>
      <c r="G22" s="71">
        <f t="shared" si="4"/>
        <v>0</v>
      </c>
      <c r="H22" s="100">
        <f t="shared" si="5"/>
        <v>702000</v>
      </c>
      <c r="I22" s="107">
        <f>Lotes!J19</f>
        <v>3.9999999999999994E-2</v>
      </c>
      <c r="J22" s="100">
        <f t="shared" si="6"/>
        <v>730080</v>
      </c>
      <c r="K22" s="100">
        <f t="shared" si="7"/>
        <v>1584</v>
      </c>
      <c r="L22" s="52">
        <f t="shared" si="8"/>
        <v>732000</v>
      </c>
      <c r="M22" s="108">
        <f>Precios!J18</f>
        <v>705527.29999999993</v>
      </c>
      <c r="N22" s="100">
        <f t="shared" si="9"/>
        <v>26472.70000000007</v>
      </c>
      <c r="O22" s="102">
        <f t="shared" si="10"/>
        <v>3.7521864852005121E-2</v>
      </c>
      <c r="P22" s="77">
        <f>IFERROR(L22/(Precios!D18+Precios!E18),"")</f>
        <v>1757.0684800637539</v>
      </c>
    </row>
    <row r="23" spans="1:19" x14ac:dyDescent="0.25">
      <c r="A23" s="92" t="str">
        <f>Lotes!A20</f>
        <v>A-010</v>
      </c>
      <c r="B23" s="93" t="str">
        <f>Lotes!B20</f>
        <v>T1</v>
      </c>
      <c r="C23" s="93" t="str">
        <f>Lotes!C20</f>
        <v>Fase 4</v>
      </c>
      <c r="D23" s="76">
        <f>Lotes!D20</f>
        <v>883.19</v>
      </c>
      <c r="E23" s="106">
        <f t="shared" si="2"/>
        <v>800</v>
      </c>
      <c r="F23" s="71">
        <f t="shared" si="3"/>
        <v>83.190000000000055</v>
      </c>
      <c r="G23" s="71">
        <f t="shared" si="4"/>
        <v>0</v>
      </c>
      <c r="H23" s="100">
        <f t="shared" si="5"/>
        <v>702000</v>
      </c>
      <c r="I23" s="107">
        <f>Lotes!J20</f>
        <v>9.9999999999999967E-3</v>
      </c>
      <c r="J23" s="100">
        <f t="shared" si="6"/>
        <v>709020</v>
      </c>
      <c r="K23" s="100">
        <f t="shared" si="7"/>
        <v>998.28000000000065</v>
      </c>
      <c r="L23" s="52">
        <f t="shared" si="8"/>
        <v>710000</v>
      </c>
      <c r="M23" s="108">
        <f>Precios!J19</f>
        <v>704062.99999999988</v>
      </c>
      <c r="N23" s="100">
        <f t="shared" si="9"/>
        <v>5937.0000000001164</v>
      </c>
      <c r="O23" s="102">
        <f t="shared" si="10"/>
        <v>8.4324840248672598E-3</v>
      </c>
      <c r="P23" s="77">
        <f>IFERROR(L23/(Precios!D19+Precios!E19),"")</f>
        <v>1704.2604109907995</v>
      </c>
    </row>
    <row r="24" spans="1:19" x14ac:dyDescent="0.25">
      <c r="A24" s="92" t="str">
        <f>Lotes!A21</f>
        <v>A-011</v>
      </c>
      <c r="B24" s="93" t="str">
        <f>Lotes!B21</f>
        <v>T1</v>
      </c>
      <c r="C24" s="93" t="str">
        <f>Lotes!C21</f>
        <v>Fase 4</v>
      </c>
      <c r="D24" s="76">
        <f>Lotes!D21</f>
        <v>811.64</v>
      </c>
      <c r="E24" s="106">
        <f t="shared" si="2"/>
        <v>800</v>
      </c>
      <c r="F24" s="71">
        <f t="shared" si="3"/>
        <v>11.639999999999986</v>
      </c>
      <c r="G24" s="71">
        <f t="shared" si="4"/>
        <v>0</v>
      </c>
      <c r="H24" s="100">
        <f t="shared" si="5"/>
        <v>702000</v>
      </c>
      <c r="I24" s="107">
        <f>Lotes!J21</f>
        <v>0</v>
      </c>
      <c r="J24" s="100">
        <f t="shared" si="6"/>
        <v>702000</v>
      </c>
      <c r="K24" s="100">
        <f t="shared" si="7"/>
        <v>139.67999999999984</v>
      </c>
      <c r="L24" s="52">
        <f t="shared" si="8"/>
        <v>702000</v>
      </c>
      <c r="M24" s="108">
        <f>Precios!J20</f>
        <v>701916.49999999988</v>
      </c>
      <c r="N24" s="100">
        <f t="shared" si="9"/>
        <v>83.500000000116415</v>
      </c>
      <c r="O24" s="102">
        <f t="shared" si="10"/>
        <v>1.1896001874883469E-4</v>
      </c>
      <c r="P24" s="77">
        <f>IFERROR(L24/(Precios!D20+Precios!E20),"")</f>
        <v>1685.0574767824526</v>
      </c>
    </row>
    <row r="25" spans="1:19" x14ac:dyDescent="0.25">
      <c r="A25" s="92" t="str">
        <f>Lotes!A22</f>
        <v>A-012</v>
      </c>
      <c r="B25" s="93" t="str">
        <f>Lotes!B22</f>
        <v>T1</v>
      </c>
      <c r="C25" s="93" t="str">
        <f>Lotes!C22</f>
        <v>Fase 4</v>
      </c>
      <c r="D25" s="76">
        <f>Lotes!D22</f>
        <v>832.55</v>
      </c>
      <c r="E25" s="106">
        <f t="shared" si="2"/>
        <v>800</v>
      </c>
      <c r="F25" s="71">
        <f t="shared" si="3"/>
        <v>32.549999999999955</v>
      </c>
      <c r="G25" s="71">
        <f t="shared" si="4"/>
        <v>0</v>
      </c>
      <c r="H25" s="100">
        <f t="shared" si="5"/>
        <v>702000</v>
      </c>
      <c r="I25" s="107">
        <f>Lotes!J22</f>
        <v>0.1</v>
      </c>
      <c r="J25" s="100">
        <f t="shared" si="6"/>
        <v>772200.00000000012</v>
      </c>
      <c r="K25" s="100">
        <f t="shared" si="7"/>
        <v>390.59999999999945</v>
      </c>
      <c r="L25" s="52">
        <f t="shared" si="8"/>
        <v>773000</v>
      </c>
      <c r="M25" s="108">
        <f>Precios!J21</f>
        <v>702543.79999999993</v>
      </c>
      <c r="N25" s="100">
        <f t="shared" si="9"/>
        <v>70456.20000000007</v>
      </c>
      <c r="O25" s="102">
        <f t="shared" si="10"/>
        <v>0.10028727034527965</v>
      </c>
      <c r="P25" s="77">
        <f>IFERROR(L25/(Precios!D21+Precios!E21),"")</f>
        <v>1855.4835178815324</v>
      </c>
    </row>
    <row r="26" spans="1:19" x14ac:dyDescent="0.25">
      <c r="A26" s="92" t="str">
        <f>Lotes!A23</f>
        <v>A-013</v>
      </c>
      <c r="B26" s="93" t="str">
        <f>Lotes!B23</f>
        <v>T1</v>
      </c>
      <c r="C26" s="93" t="str">
        <f>Lotes!C23</f>
        <v>Fase 4</v>
      </c>
      <c r="D26" s="76">
        <f>Lotes!D23</f>
        <v>840.4</v>
      </c>
      <c r="E26" s="106">
        <f t="shared" si="2"/>
        <v>800</v>
      </c>
      <c r="F26" s="71">
        <f t="shared" si="3"/>
        <v>40.399999999999977</v>
      </c>
      <c r="G26" s="71">
        <f t="shared" si="4"/>
        <v>0</v>
      </c>
      <c r="H26" s="100">
        <f t="shared" si="5"/>
        <v>702000</v>
      </c>
      <c r="I26" s="107">
        <f>Lotes!J23</f>
        <v>0.01</v>
      </c>
      <c r="J26" s="100">
        <f t="shared" si="6"/>
        <v>709020</v>
      </c>
      <c r="K26" s="100">
        <f t="shared" si="7"/>
        <v>484.79999999999973</v>
      </c>
      <c r="L26" s="52">
        <f t="shared" si="8"/>
        <v>710000</v>
      </c>
      <c r="M26" s="108">
        <f>Precios!J22</f>
        <v>702779.29999999993</v>
      </c>
      <c r="N26" s="100">
        <f t="shared" si="9"/>
        <v>7220.7000000000698</v>
      </c>
      <c r="O26" s="102">
        <f t="shared" si="10"/>
        <v>1.0274491579362213E-2</v>
      </c>
      <c r="P26" s="77">
        <f>IFERROR(L26/(Precios!D22+Precios!E22),"")</f>
        <v>1704.2604109907995</v>
      </c>
    </row>
    <row r="27" spans="1:19" x14ac:dyDescent="0.25">
      <c r="A27" s="92" t="str">
        <f>Lotes!A24</f>
        <v>A-014</v>
      </c>
      <c r="B27" s="93" t="str">
        <f>Lotes!B24</f>
        <v>T1</v>
      </c>
      <c r="C27" s="93" t="str">
        <f>Lotes!C24</f>
        <v>Fase 4</v>
      </c>
      <c r="D27" s="76">
        <f>Lotes!D24</f>
        <v>813.31</v>
      </c>
      <c r="E27" s="106">
        <f t="shared" si="2"/>
        <v>800</v>
      </c>
      <c r="F27" s="71">
        <f t="shared" si="3"/>
        <v>13.309999999999945</v>
      </c>
      <c r="G27" s="71">
        <f t="shared" si="4"/>
        <v>0</v>
      </c>
      <c r="H27" s="100">
        <f t="shared" si="5"/>
        <v>702000</v>
      </c>
      <c r="I27" s="107">
        <f>Lotes!J24</f>
        <v>7.0000000000000007E-2</v>
      </c>
      <c r="J27" s="100">
        <f t="shared" si="6"/>
        <v>751140</v>
      </c>
      <c r="K27" s="100">
        <f t="shared" si="7"/>
        <v>159.71999999999935</v>
      </c>
      <c r="L27" s="52">
        <f t="shared" si="8"/>
        <v>751000</v>
      </c>
      <c r="M27" s="108">
        <f>Precios!J23</f>
        <v>701966.6</v>
      </c>
      <c r="N27" s="100">
        <f t="shared" si="9"/>
        <v>49033.400000000023</v>
      </c>
      <c r="O27" s="102">
        <f t="shared" si="10"/>
        <v>6.9851471565741202E-2</v>
      </c>
      <c r="P27" s="77">
        <f>IFERROR(L27/(Precios!D23+Precios!E23),"")</f>
        <v>1802.6754488085783</v>
      </c>
    </row>
    <row r="28" spans="1:19" x14ac:dyDescent="0.25">
      <c r="A28" s="92" t="str">
        <f>Lotes!A25</f>
        <v>A-015</v>
      </c>
      <c r="B28" s="93" t="str">
        <f>Lotes!B25</f>
        <v>T1</v>
      </c>
      <c r="C28" s="93" t="str">
        <f>Lotes!C25</f>
        <v>Fase 4</v>
      </c>
      <c r="D28" s="76">
        <f>Lotes!D25</f>
        <v>922.55</v>
      </c>
      <c r="E28" s="106">
        <f t="shared" si="2"/>
        <v>800</v>
      </c>
      <c r="F28" s="71">
        <f t="shared" si="3"/>
        <v>122.54999999999995</v>
      </c>
      <c r="G28" s="71">
        <f t="shared" si="4"/>
        <v>0</v>
      </c>
      <c r="H28" s="100">
        <f t="shared" si="5"/>
        <v>702000</v>
      </c>
      <c r="I28" s="107">
        <f>Lotes!J25</f>
        <v>-0.03</v>
      </c>
      <c r="J28" s="100">
        <f t="shared" si="6"/>
        <v>680940</v>
      </c>
      <c r="K28" s="100">
        <f t="shared" si="7"/>
        <v>1470.5999999999995</v>
      </c>
      <c r="L28" s="52">
        <f t="shared" si="8"/>
        <v>682000</v>
      </c>
      <c r="M28" s="108">
        <f>Precios!J24</f>
        <v>705243.79999999993</v>
      </c>
      <c r="N28" s="100">
        <f t="shared" si="9"/>
        <v>-23243.79999999993</v>
      </c>
      <c r="O28" s="102">
        <f t="shared" si="10"/>
        <v>-3.2958531503573564E-2</v>
      </c>
      <c r="P28" s="77">
        <f>IFERROR(L28/(Precios!D24+Precios!E24),"")</f>
        <v>1637.0501412615849</v>
      </c>
    </row>
    <row r="29" spans="1:19" x14ac:dyDescent="0.25">
      <c r="A29" s="92" t="str">
        <f>Lotes!A26</f>
        <v>A-016</v>
      </c>
      <c r="B29" s="93" t="str">
        <f>Lotes!B26</f>
        <v>T1</v>
      </c>
      <c r="C29" s="93" t="str">
        <f>Lotes!C26</f>
        <v>Fase 4</v>
      </c>
      <c r="D29" s="76">
        <f>Lotes!D26</f>
        <v>848.54</v>
      </c>
      <c r="E29" s="106">
        <f t="shared" si="2"/>
        <v>800</v>
      </c>
      <c r="F29" s="71">
        <f t="shared" si="3"/>
        <v>48.539999999999964</v>
      </c>
      <c r="G29" s="71">
        <f t="shared" si="4"/>
        <v>0</v>
      </c>
      <c r="H29" s="100">
        <f t="shared" si="5"/>
        <v>702000</v>
      </c>
      <c r="I29" s="107">
        <f>Lotes!J26</f>
        <v>9.9999999999999967E-3</v>
      </c>
      <c r="J29" s="100">
        <f t="shared" si="6"/>
        <v>709020</v>
      </c>
      <c r="K29" s="100">
        <f t="shared" si="7"/>
        <v>582.47999999999956</v>
      </c>
      <c r="L29" s="52">
        <f t="shared" si="8"/>
        <v>710000</v>
      </c>
      <c r="M29" s="108">
        <f>Precios!J25</f>
        <v>703023.49999999988</v>
      </c>
      <c r="N29" s="100">
        <f t="shared" si="9"/>
        <v>6976.5000000001164</v>
      </c>
      <c r="O29" s="102">
        <f t="shared" si="10"/>
        <v>9.9235658551956197E-3</v>
      </c>
      <c r="P29" s="77">
        <f>IFERROR(L29/(Precios!D25+Precios!E25),"")</f>
        <v>1704.2604109907995</v>
      </c>
    </row>
    <row r="30" spans="1:19" x14ac:dyDescent="0.25">
      <c r="A30" s="92" t="str">
        <f>Lotes!A27</f>
        <v>A-017</v>
      </c>
      <c r="B30" s="93" t="str">
        <f>Lotes!B27</f>
        <v>T1</v>
      </c>
      <c r="C30" s="93" t="str">
        <f>Lotes!C27</f>
        <v>Fase 4</v>
      </c>
      <c r="D30" s="76">
        <f>Lotes!D27</f>
        <v>762.77</v>
      </c>
      <c r="E30" s="106">
        <f t="shared" si="2"/>
        <v>800</v>
      </c>
      <c r="F30" s="71">
        <f t="shared" si="3"/>
        <v>0</v>
      </c>
      <c r="G30" s="71">
        <f t="shared" si="4"/>
        <v>37.230000000000018</v>
      </c>
      <c r="H30" s="100">
        <f t="shared" si="5"/>
        <v>702000</v>
      </c>
      <c r="I30" s="107">
        <f>Lotes!J27</f>
        <v>0.05</v>
      </c>
      <c r="J30" s="100">
        <f t="shared" si="6"/>
        <v>737100</v>
      </c>
      <c r="K30" s="100">
        <f t="shared" si="7"/>
        <v>0</v>
      </c>
      <c r="L30" s="52">
        <f t="shared" si="8"/>
        <v>737000</v>
      </c>
      <c r="M30" s="108">
        <f>Precios!J26</f>
        <v>700450.39999999991</v>
      </c>
      <c r="N30" s="100">
        <f t="shared" si="9"/>
        <v>36549.600000000093</v>
      </c>
      <c r="O30" s="102">
        <f t="shared" si="10"/>
        <v>5.2180140092717625E-2</v>
      </c>
      <c r="P30" s="77">
        <f>IFERROR(L30/(Precios!D26+Precios!E26),"")</f>
        <v>1769.0703139439709</v>
      </c>
    </row>
    <row r="31" spans="1:19" x14ac:dyDescent="0.25">
      <c r="A31" s="92" t="str">
        <f>Lotes!A28</f>
        <v>A-018</v>
      </c>
      <c r="B31" s="93" t="str">
        <f>Lotes!B28</f>
        <v>T1</v>
      </c>
      <c r="C31" s="93" t="str">
        <f>Lotes!C28</f>
        <v>Fase 4</v>
      </c>
      <c r="D31" s="76">
        <f>Lotes!D28</f>
        <v>1006.2</v>
      </c>
      <c r="E31" s="106">
        <f t="shared" si="2"/>
        <v>800</v>
      </c>
      <c r="F31" s="71">
        <f t="shared" si="3"/>
        <v>206.20000000000005</v>
      </c>
      <c r="G31" s="71">
        <f t="shared" si="4"/>
        <v>0</v>
      </c>
      <c r="H31" s="100">
        <f t="shared" si="5"/>
        <v>702000</v>
      </c>
      <c r="I31" s="107">
        <f>Lotes!J28</f>
        <v>9.9999999999999967E-3</v>
      </c>
      <c r="J31" s="100">
        <f t="shared" si="6"/>
        <v>709020</v>
      </c>
      <c r="K31" s="100">
        <f t="shared" si="7"/>
        <v>2474.4000000000005</v>
      </c>
      <c r="L31" s="52">
        <f t="shared" si="8"/>
        <v>711000</v>
      </c>
      <c r="M31" s="108">
        <f>Precios!J27</f>
        <v>707753.29999999993</v>
      </c>
      <c r="N31" s="100">
        <f t="shared" si="9"/>
        <v>3246.7000000000698</v>
      </c>
      <c r="O31" s="102">
        <f t="shared" si="10"/>
        <v>4.5873329025807015E-3</v>
      </c>
      <c r="P31" s="77">
        <f>IFERROR(L31/(Precios!D27+Precios!E27),"")</f>
        <v>1706.660777766843</v>
      </c>
    </row>
    <row r="32" spans="1:19" x14ac:dyDescent="0.25">
      <c r="A32" s="92" t="str">
        <f>Lotes!A29</f>
        <v>A-019</v>
      </c>
      <c r="B32" s="93" t="str">
        <f>Lotes!B29</f>
        <v>T1</v>
      </c>
      <c r="C32" s="93" t="str">
        <f>Lotes!C29</f>
        <v>Fase 4</v>
      </c>
      <c r="D32" s="76">
        <f>Lotes!D29</f>
        <v>1225.01</v>
      </c>
      <c r="E32" s="106">
        <f t="shared" si="2"/>
        <v>800</v>
      </c>
      <c r="F32" s="71">
        <f t="shared" si="3"/>
        <v>425.01</v>
      </c>
      <c r="G32" s="71">
        <f t="shared" si="4"/>
        <v>0</v>
      </c>
      <c r="H32" s="100">
        <f t="shared" si="5"/>
        <v>702000</v>
      </c>
      <c r="I32" s="107">
        <f>Lotes!J29</f>
        <v>9.9999999999999967E-3</v>
      </c>
      <c r="J32" s="100">
        <f t="shared" si="6"/>
        <v>709020</v>
      </c>
      <c r="K32" s="100">
        <f t="shared" si="7"/>
        <v>5100.12</v>
      </c>
      <c r="L32" s="52">
        <f t="shared" si="8"/>
        <v>714000</v>
      </c>
      <c r="M32" s="108">
        <f>Precios!J28</f>
        <v>714317.6</v>
      </c>
      <c r="N32" s="100">
        <f t="shared" si="9"/>
        <v>-317.59999999997672</v>
      </c>
      <c r="O32" s="102">
        <f t="shared" si="10"/>
        <v>-4.4462015215637518E-4</v>
      </c>
      <c r="P32" s="77">
        <f>IFERROR(L32/(Precios!D28+Precios!E28),"")</f>
        <v>1713.861878094973</v>
      </c>
    </row>
    <row r="33" spans="1:16" x14ac:dyDescent="0.25">
      <c r="A33" s="92" t="str">
        <f>Lotes!A30</f>
        <v>A-020</v>
      </c>
      <c r="B33" s="93" t="str">
        <f>Lotes!B30</f>
        <v>T1</v>
      </c>
      <c r="C33" s="93" t="str">
        <f>Lotes!C30</f>
        <v>Fase 4</v>
      </c>
      <c r="D33" s="76">
        <f>Lotes!D30</f>
        <v>1068.3499999999999</v>
      </c>
      <c r="E33" s="106">
        <f t="shared" si="2"/>
        <v>800</v>
      </c>
      <c r="F33" s="71">
        <f t="shared" si="3"/>
        <v>268.34999999999991</v>
      </c>
      <c r="G33" s="71">
        <f t="shared" si="4"/>
        <v>0</v>
      </c>
      <c r="H33" s="100">
        <f t="shared" si="5"/>
        <v>702000</v>
      </c>
      <c r="I33" s="107">
        <f>Lotes!J30</f>
        <v>-0.03</v>
      </c>
      <c r="J33" s="100">
        <f t="shared" si="6"/>
        <v>680940</v>
      </c>
      <c r="K33" s="100">
        <f t="shared" si="7"/>
        <v>3220.1999999999989</v>
      </c>
      <c r="L33" s="52">
        <f t="shared" si="8"/>
        <v>684000</v>
      </c>
      <c r="M33" s="108">
        <f>Precios!J29</f>
        <v>709617.79999999993</v>
      </c>
      <c r="N33" s="100">
        <f t="shared" si="9"/>
        <v>-25617.79999999993</v>
      </c>
      <c r="O33" s="102">
        <f t="shared" si="10"/>
        <v>-3.6100841889817215E-2</v>
      </c>
      <c r="P33" s="77">
        <f>IFERROR(L33/(Precios!D29+Precios!E29),"")</f>
        <v>1641.8508748136717</v>
      </c>
    </row>
    <row r="34" spans="1:16" x14ac:dyDescent="0.25">
      <c r="A34" s="92" t="str">
        <f>Lotes!A31</f>
        <v>A-021</v>
      </c>
      <c r="B34" s="93" t="str">
        <f>Lotes!B31</f>
        <v>T1</v>
      </c>
      <c r="C34" s="93" t="str">
        <f>Lotes!C31</f>
        <v>Fase 4</v>
      </c>
      <c r="D34" s="76">
        <f>Lotes!D31</f>
        <v>771.66</v>
      </c>
      <c r="E34" s="106">
        <f t="shared" si="2"/>
        <v>800</v>
      </c>
      <c r="F34" s="71">
        <f t="shared" si="3"/>
        <v>0</v>
      </c>
      <c r="G34" s="71">
        <f t="shared" si="4"/>
        <v>28.340000000000032</v>
      </c>
      <c r="H34" s="100">
        <f t="shared" si="5"/>
        <v>702000</v>
      </c>
      <c r="I34" s="107">
        <f>Lotes!J31</f>
        <v>7.0000000000000007E-2</v>
      </c>
      <c r="J34" s="100">
        <f t="shared" si="6"/>
        <v>751140</v>
      </c>
      <c r="K34" s="100">
        <f t="shared" si="7"/>
        <v>0</v>
      </c>
      <c r="L34" s="52">
        <f t="shared" si="8"/>
        <v>751000</v>
      </c>
      <c r="M34" s="108">
        <f>Precios!J30</f>
        <v>700717.1</v>
      </c>
      <c r="N34" s="100">
        <f t="shared" si="9"/>
        <v>50282.900000000023</v>
      </c>
      <c r="O34" s="102">
        <f t="shared" si="10"/>
        <v>7.1759202108811135E-2</v>
      </c>
      <c r="P34" s="77">
        <f>IFERROR(L34/(Precios!D30+Precios!E30),"")</f>
        <v>1802.6754488085783</v>
      </c>
    </row>
    <row r="35" spans="1:16" x14ac:dyDescent="0.25">
      <c r="A35" s="92" t="str">
        <f>Lotes!A32</f>
        <v>A-022</v>
      </c>
      <c r="B35" s="93" t="str">
        <f>Lotes!B32</f>
        <v>T1</v>
      </c>
      <c r="C35" s="93" t="str">
        <f>Lotes!C32</f>
        <v>Fase 4</v>
      </c>
      <c r="D35" s="76">
        <f>Lotes!D32</f>
        <v>880.1</v>
      </c>
      <c r="E35" s="106">
        <f t="shared" si="2"/>
        <v>800</v>
      </c>
      <c r="F35" s="71">
        <f t="shared" si="3"/>
        <v>80.100000000000023</v>
      </c>
      <c r="G35" s="71">
        <f t="shared" si="4"/>
        <v>0</v>
      </c>
      <c r="H35" s="100">
        <f t="shared" si="5"/>
        <v>702000</v>
      </c>
      <c r="I35" s="107">
        <f>Lotes!J32</f>
        <v>-3.0000000000000002E-2</v>
      </c>
      <c r="J35" s="100">
        <f t="shared" si="6"/>
        <v>680940</v>
      </c>
      <c r="K35" s="100">
        <f t="shared" si="7"/>
        <v>961.20000000000027</v>
      </c>
      <c r="L35" s="52">
        <f t="shared" si="8"/>
        <v>682000</v>
      </c>
      <c r="M35" s="108">
        <f>Precios!J31</f>
        <v>703970.29999999993</v>
      </c>
      <c r="N35" s="100">
        <f t="shared" si="9"/>
        <v>-21970.29999999993</v>
      </c>
      <c r="O35" s="102">
        <f t="shared" si="10"/>
        <v>-3.1209129135135294E-2</v>
      </c>
      <c r="P35" s="77">
        <f>IFERROR(L35/(Precios!D31+Precios!E31),"")</f>
        <v>1637.0501412615849</v>
      </c>
    </row>
    <row r="36" spans="1:16" x14ac:dyDescent="0.25">
      <c r="A36" s="92" t="str">
        <f>Lotes!A33</f>
        <v>A-023</v>
      </c>
      <c r="B36" s="93" t="str">
        <f>Lotes!B33</f>
        <v>T1</v>
      </c>
      <c r="C36" s="93" t="str">
        <f>Lotes!C33</f>
        <v>Fase 4</v>
      </c>
      <c r="D36" s="76">
        <f>Lotes!D33</f>
        <v>799.87</v>
      </c>
      <c r="E36" s="106">
        <f t="shared" si="2"/>
        <v>800</v>
      </c>
      <c r="F36" s="71">
        <f t="shared" si="3"/>
        <v>0</v>
      </c>
      <c r="G36" s="71">
        <f t="shared" si="4"/>
        <v>0.12999999999999545</v>
      </c>
      <c r="H36" s="100">
        <f t="shared" si="5"/>
        <v>702000</v>
      </c>
      <c r="I36" s="107">
        <f>Lotes!J33</f>
        <v>0.03</v>
      </c>
      <c r="J36" s="100">
        <f t="shared" si="6"/>
        <v>723060</v>
      </c>
      <c r="K36" s="100">
        <f t="shared" si="7"/>
        <v>0</v>
      </c>
      <c r="L36" s="52">
        <f t="shared" si="8"/>
        <v>723000</v>
      </c>
      <c r="M36" s="108">
        <f>Precios!J32</f>
        <v>701563.39999999991</v>
      </c>
      <c r="N36" s="100">
        <f t="shared" si="9"/>
        <v>21436.600000000093</v>
      </c>
      <c r="O36" s="102">
        <f t="shared" si="10"/>
        <v>3.0555470824162288E-2</v>
      </c>
      <c r="P36" s="77">
        <f>IFERROR(L36/(Precios!D32+Precios!E32),"")</f>
        <v>1735.4651790793635</v>
      </c>
    </row>
    <row r="37" spans="1:16" x14ac:dyDescent="0.25">
      <c r="A37" s="92" t="str">
        <f>Lotes!A34</f>
        <v>A-024</v>
      </c>
      <c r="B37" s="93" t="str">
        <f>Lotes!B34</f>
        <v>T1</v>
      </c>
      <c r="C37" s="93" t="str">
        <f>Lotes!C34</f>
        <v>Fase 4</v>
      </c>
      <c r="D37" s="76">
        <f>Lotes!D34</f>
        <v>768.76</v>
      </c>
      <c r="E37" s="106">
        <f t="shared" si="2"/>
        <v>800</v>
      </c>
      <c r="F37" s="71">
        <f t="shared" si="3"/>
        <v>0</v>
      </c>
      <c r="G37" s="71">
        <f t="shared" si="4"/>
        <v>31.240000000000009</v>
      </c>
      <c r="H37" s="100">
        <f t="shared" si="5"/>
        <v>702000</v>
      </c>
      <c r="I37" s="107">
        <f>Lotes!J34</f>
        <v>0.04</v>
      </c>
      <c r="J37" s="100">
        <f t="shared" si="6"/>
        <v>730080</v>
      </c>
      <c r="K37" s="100">
        <f t="shared" si="7"/>
        <v>0</v>
      </c>
      <c r="L37" s="52">
        <f t="shared" si="8"/>
        <v>730000</v>
      </c>
      <c r="M37" s="108">
        <f>Precios!J33</f>
        <v>700630.1</v>
      </c>
      <c r="N37" s="100">
        <f t="shared" si="9"/>
        <v>29369.900000000023</v>
      </c>
      <c r="O37" s="102">
        <f t="shared" si="10"/>
        <v>4.1919266671528989E-2</v>
      </c>
      <c r="P37" s="77">
        <f>IFERROR(L37/(Precios!D33+Precios!E33),"")</f>
        <v>1752.2677465116672</v>
      </c>
    </row>
    <row r="38" spans="1:16" x14ac:dyDescent="0.25">
      <c r="A38" s="92" t="str">
        <f>Lotes!A35</f>
        <v>A-025</v>
      </c>
      <c r="B38" s="93" t="str">
        <f>Lotes!B35</f>
        <v>T1</v>
      </c>
      <c r="C38" s="93" t="str">
        <f>Lotes!C35</f>
        <v>Fase 4</v>
      </c>
      <c r="D38" s="76">
        <f>Lotes!D35</f>
        <v>767.97</v>
      </c>
      <c r="E38" s="106">
        <f t="shared" si="2"/>
        <v>800</v>
      </c>
      <c r="F38" s="71">
        <f t="shared" si="3"/>
        <v>0</v>
      </c>
      <c r="G38" s="71">
        <f t="shared" si="4"/>
        <v>32.029999999999973</v>
      </c>
      <c r="H38" s="100">
        <f t="shared" si="5"/>
        <v>702000</v>
      </c>
      <c r="I38" s="107">
        <f>Lotes!J35</f>
        <v>0.08</v>
      </c>
      <c r="J38" s="100">
        <f t="shared" si="6"/>
        <v>758160</v>
      </c>
      <c r="K38" s="100">
        <f t="shared" si="7"/>
        <v>0</v>
      </c>
      <c r="L38" s="52">
        <f t="shared" si="8"/>
        <v>758000</v>
      </c>
      <c r="M38" s="108">
        <f>Precios!J34</f>
        <v>700606.39999999991</v>
      </c>
      <c r="N38" s="100">
        <f t="shared" si="9"/>
        <v>57393.600000000093</v>
      </c>
      <c r="O38" s="102">
        <f t="shared" si="10"/>
        <v>8.1919891111471577E-2</v>
      </c>
      <c r="P38" s="77">
        <f>IFERROR(L38/(Precios!D34+Precios!E34),"")</f>
        <v>1819.4780162408817</v>
      </c>
    </row>
    <row r="39" spans="1:16" x14ac:dyDescent="0.25">
      <c r="A39" s="92" t="str">
        <f>Lotes!A36</f>
        <v>A-026</v>
      </c>
      <c r="B39" s="93" t="str">
        <f>Lotes!B36</f>
        <v>T1</v>
      </c>
      <c r="C39" s="93" t="str">
        <f>Lotes!C36</f>
        <v>Fase 4</v>
      </c>
      <c r="D39" s="76">
        <f>Lotes!D36</f>
        <v>767.97</v>
      </c>
      <c r="E39" s="106">
        <f t="shared" si="2"/>
        <v>800</v>
      </c>
      <c r="F39" s="71">
        <f t="shared" si="3"/>
        <v>0</v>
      </c>
      <c r="G39" s="71">
        <f t="shared" si="4"/>
        <v>32.029999999999973</v>
      </c>
      <c r="H39" s="100">
        <f t="shared" si="5"/>
        <v>702000</v>
      </c>
      <c r="I39" s="107">
        <f>Lotes!J36</f>
        <v>0.01</v>
      </c>
      <c r="J39" s="100">
        <f t="shared" si="6"/>
        <v>709020</v>
      </c>
      <c r="K39" s="100">
        <f t="shared" si="7"/>
        <v>0</v>
      </c>
      <c r="L39" s="52">
        <f t="shared" si="8"/>
        <v>709000</v>
      </c>
      <c r="M39" s="108">
        <f>Precios!J35</f>
        <v>700606.39999999991</v>
      </c>
      <c r="N39" s="100">
        <f t="shared" si="9"/>
        <v>8393.6000000000931</v>
      </c>
      <c r="O39" s="102">
        <f t="shared" si="10"/>
        <v>1.1980478625373811E-2</v>
      </c>
      <c r="P39" s="77">
        <f>IFERROR(L39/(Precios!D35+Precios!E35),"")</f>
        <v>1701.8600442147563</v>
      </c>
    </row>
    <row r="40" spans="1:16" x14ac:dyDescent="0.25">
      <c r="A40" s="92" t="str">
        <f>Lotes!A37</f>
        <v>A-027</v>
      </c>
      <c r="B40" s="93" t="str">
        <f>Lotes!B37</f>
        <v>T1</v>
      </c>
      <c r="C40" s="93" t="str">
        <f>Lotes!C37</f>
        <v>Fase 4</v>
      </c>
      <c r="D40" s="76">
        <f>Lotes!D37</f>
        <v>767.97</v>
      </c>
      <c r="E40" s="106">
        <f t="shared" si="2"/>
        <v>800</v>
      </c>
      <c r="F40" s="71">
        <f t="shared" si="3"/>
        <v>0</v>
      </c>
      <c r="G40" s="71">
        <f t="shared" si="4"/>
        <v>32.029999999999973</v>
      </c>
      <c r="H40" s="100">
        <f t="shared" si="5"/>
        <v>702000</v>
      </c>
      <c r="I40" s="107">
        <f>Lotes!J37</f>
        <v>0</v>
      </c>
      <c r="J40" s="100">
        <f t="shared" si="6"/>
        <v>702000</v>
      </c>
      <c r="K40" s="100">
        <f t="shared" si="7"/>
        <v>0</v>
      </c>
      <c r="L40" s="52">
        <f t="shared" si="8"/>
        <v>702000</v>
      </c>
      <c r="M40" s="108">
        <f>Precios!J36</f>
        <v>700606.39999999991</v>
      </c>
      <c r="N40" s="100">
        <f t="shared" si="9"/>
        <v>1393.6000000000931</v>
      </c>
      <c r="O40" s="102">
        <f t="shared" si="10"/>
        <v>1.9891339845027013E-3</v>
      </c>
      <c r="P40" s="77">
        <f>IFERROR(L40/(Precios!D36+Precios!E36),"")</f>
        <v>1685.0574767824526</v>
      </c>
    </row>
    <row r="41" spans="1:16" x14ac:dyDescent="0.25">
      <c r="A41" s="92" t="str">
        <f>Lotes!A38</f>
        <v>A-028</v>
      </c>
      <c r="B41" s="93" t="str">
        <f>Lotes!B38</f>
        <v>T1</v>
      </c>
      <c r="C41" s="93" t="str">
        <f>Lotes!C38</f>
        <v>Fase 4</v>
      </c>
      <c r="D41" s="76">
        <f>Lotes!D38</f>
        <v>806.91</v>
      </c>
      <c r="E41" s="106">
        <f t="shared" si="2"/>
        <v>800</v>
      </c>
      <c r="F41" s="71">
        <f t="shared" si="3"/>
        <v>6.9099999999999682</v>
      </c>
      <c r="G41" s="71">
        <f t="shared" si="4"/>
        <v>0</v>
      </c>
      <c r="H41" s="100">
        <f t="shared" si="5"/>
        <v>702000</v>
      </c>
      <c r="I41" s="107">
        <f>Lotes!J38</f>
        <v>0.05</v>
      </c>
      <c r="J41" s="100">
        <f t="shared" si="6"/>
        <v>737100</v>
      </c>
      <c r="K41" s="100">
        <f t="shared" si="7"/>
        <v>82.919999999999618</v>
      </c>
      <c r="L41" s="52">
        <f t="shared" si="8"/>
        <v>737000</v>
      </c>
      <c r="M41" s="108">
        <f>Precios!J37</f>
        <v>701774.6</v>
      </c>
      <c r="N41" s="100">
        <f t="shared" si="9"/>
        <v>35225.400000000023</v>
      </c>
      <c r="O41" s="102">
        <f t="shared" si="10"/>
        <v>5.0194749140251051E-2</v>
      </c>
      <c r="P41" s="77">
        <f>IFERROR(L41/(Precios!D37+Precios!E37),"")</f>
        <v>1769.0703139439709</v>
      </c>
    </row>
    <row r="42" spans="1:16" x14ac:dyDescent="0.25">
      <c r="A42" s="92" t="str">
        <f>Lotes!A39</f>
        <v>A-029</v>
      </c>
      <c r="B42" s="93" t="str">
        <f>Lotes!B39</f>
        <v>T1</v>
      </c>
      <c r="C42" s="93" t="str">
        <f>Lotes!C39</f>
        <v>Fase 4</v>
      </c>
      <c r="D42" s="76">
        <f>Lotes!D39</f>
        <v>813.54</v>
      </c>
      <c r="E42" s="106">
        <f t="shared" si="2"/>
        <v>800</v>
      </c>
      <c r="F42" s="71">
        <f t="shared" si="3"/>
        <v>13.539999999999964</v>
      </c>
      <c r="G42" s="71">
        <f t="shared" si="4"/>
        <v>0</v>
      </c>
      <c r="H42" s="100">
        <f t="shared" si="5"/>
        <v>702000</v>
      </c>
      <c r="I42" s="107">
        <f>Lotes!J39</f>
        <v>0.03</v>
      </c>
      <c r="J42" s="100">
        <f t="shared" si="6"/>
        <v>723060</v>
      </c>
      <c r="K42" s="100">
        <f t="shared" si="7"/>
        <v>162.47999999999956</v>
      </c>
      <c r="L42" s="52">
        <f t="shared" si="8"/>
        <v>723000</v>
      </c>
      <c r="M42" s="108">
        <f>Precios!J38</f>
        <v>701973.49999999988</v>
      </c>
      <c r="N42" s="100">
        <f t="shared" si="9"/>
        <v>21026.500000000116</v>
      </c>
      <c r="O42" s="102">
        <f t="shared" si="10"/>
        <v>2.9953409922169598E-2</v>
      </c>
      <c r="P42" s="77">
        <f>IFERROR(L42/(Precios!D38+Precios!E38),"")</f>
        <v>1735.4651790793635</v>
      </c>
    </row>
    <row r="43" spans="1:16" x14ac:dyDescent="0.25">
      <c r="A43" s="92" t="str">
        <f>Lotes!A40</f>
        <v>A-030</v>
      </c>
      <c r="B43" s="93" t="str">
        <f>Lotes!B40</f>
        <v>T1</v>
      </c>
      <c r="C43" s="93" t="str">
        <f>Lotes!C40</f>
        <v>Fase 4</v>
      </c>
      <c r="D43" s="76">
        <f>Lotes!D40</f>
        <v>769.34</v>
      </c>
      <c r="E43" s="106">
        <f t="shared" si="2"/>
        <v>800</v>
      </c>
      <c r="F43" s="71">
        <f t="shared" si="3"/>
        <v>0</v>
      </c>
      <c r="G43" s="71">
        <f t="shared" si="4"/>
        <v>30.659999999999968</v>
      </c>
      <c r="H43" s="100">
        <f t="shared" si="5"/>
        <v>702000</v>
      </c>
      <c r="I43" s="107">
        <f>Lotes!J40</f>
        <v>-0.02</v>
      </c>
      <c r="J43" s="100">
        <f t="shared" si="6"/>
        <v>687960</v>
      </c>
      <c r="K43" s="100">
        <f t="shared" si="7"/>
        <v>0</v>
      </c>
      <c r="L43" s="52">
        <f t="shared" si="8"/>
        <v>688000</v>
      </c>
      <c r="M43" s="108">
        <f>Precios!J39</f>
        <v>700647.49999999988</v>
      </c>
      <c r="N43" s="100">
        <f t="shared" si="9"/>
        <v>-12647.499999999884</v>
      </c>
      <c r="O43" s="102">
        <f t="shared" si="10"/>
        <v>-1.805115982002346E-2</v>
      </c>
      <c r="P43" s="77">
        <f>IFERROR(L43/(Precios!D39+Precios!E39),"")</f>
        <v>1651.4523419178452</v>
      </c>
    </row>
    <row r="44" spans="1:16" x14ac:dyDescent="0.25">
      <c r="A44" s="92" t="str">
        <f>Lotes!A41</f>
        <v>A-031</v>
      </c>
      <c r="B44" s="93" t="str">
        <f>Lotes!B41</f>
        <v>T1</v>
      </c>
      <c r="C44" s="93" t="str">
        <f>Lotes!C41</f>
        <v>Fase 4</v>
      </c>
      <c r="D44" s="76">
        <f>Lotes!D41</f>
        <v>733.29</v>
      </c>
      <c r="E44" s="106">
        <f t="shared" si="2"/>
        <v>800</v>
      </c>
      <c r="F44" s="71">
        <f t="shared" si="3"/>
        <v>0</v>
      </c>
      <c r="G44" s="71">
        <f t="shared" si="4"/>
        <v>66.710000000000036</v>
      </c>
      <c r="H44" s="100">
        <f t="shared" si="5"/>
        <v>702000</v>
      </c>
      <c r="I44" s="107">
        <f>Lotes!J41</f>
        <v>0.11000000000000001</v>
      </c>
      <c r="J44" s="100">
        <f t="shared" si="6"/>
        <v>779220.00000000012</v>
      </c>
      <c r="K44" s="100">
        <f t="shared" si="7"/>
        <v>0</v>
      </c>
      <c r="L44" s="52">
        <f t="shared" si="8"/>
        <v>779000</v>
      </c>
      <c r="M44" s="108">
        <f>Precios!J40</f>
        <v>699565.99999999988</v>
      </c>
      <c r="N44" s="100">
        <f t="shared" si="9"/>
        <v>79434.000000000116</v>
      </c>
      <c r="O44" s="102">
        <f t="shared" si="10"/>
        <v>0.11354754233338975</v>
      </c>
      <c r="P44" s="77">
        <f>IFERROR(L44/(Precios!D40+Precios!E40),"")</f>
        <v>1869.8857185377929</v>
      </c>
    </row>
    <row r="45" spans="1:16" x14ac:dyDescent="0.25">
      <c r="A45" s="92" t="str">
        <f>Lotes!A42</f>
        <v>A-032</v>
      </c>
      <c r="B45" s="93" t="str">
        <f>Lotes!B42</f>
        <v>T1</v>
      </c>
      <c r="C45" s="93" t="str">
        <f>Lotes!C42</f>
        <v>Fase 4</v>
      </c>
      <c r="D45" s="76">
        <f>Lotes!D42</f>
        <v>1014.84</v>
      </c>
      <c r="E45" s="106">
        <f t="shared" si="2"/>
        <v>800</v>
      </c>
      <c r="F45" s="71">
        <f t="shared" si="3"/>
        <v>214.84000000000003</v>
      </c>
      <c r="G45" s="71">
        <f t="shared" si="4"/>
        <v>0</v>
      </c>
      <c r="H45" s="100">
        <f t="shared" si="5"/>
        <v>702000</v>
      </c>
      <c r="I45" s="107">
        <f>Lotes!J42</f>
        <v>3.9999999999999994E-2</v>
      </c>
      <c r="J45" s="100">
        <f t="shared" si="6"/>
        <v>730080</v>
      </c>
      <c r="K45" s="100">
        <f t="shared" si="7"/>
        <v>2578.0800000000004</v>
      </c>
      <c r="L45" s="52">
        <f t="shared" si="8"/>
        <v>733000</v>
      </c>
      <c r="M45" s="108">
        <f>Precios!J41</f>
        <v>708012.49999999988</v>
      </c>
      <c r="N45" s="100">
        <f t="shared" si="9"/>
        <v>24987.500000000116</v>
      </c>
      <c r="O45" s="102">
        <f t="shared" si="10"/>
        <v>3.5292455994774277E-2</v>
      </c>
      <c r="P45" s="77">
        <f>IFERROR(L45/(Precios!D41+Precios!E41),"")</f>
        <v>1759.4688468397974</v>
      </c>
    </row>
    <row r="46" spans="1:16" x14ac:dyDescent="0.25">
      <c r="A46" s="92" t="str">
        <f>Lotes!A43</f>
        <v>B-001</v>
      </c>
      <c r="B46" s="93" t="str">
        <f>Lotes!B43</f>
        <v>T2</v>
      </c>
      <c r="C46" s="93" t="str">
        <f>Lotes!C43</f>
        <v>Fase 4</v>
      </c>
      <c r="D46" s="76">
        <f>Lotes!D43</f>
        <v>928.76</v>
      </c>
      <c r="E46" s="106">
        <f t="shared" si="2"/>
        <v>800</v>
      </c>
      <c r="F46" s="71">
        <f t="shared" si="3"/>
        <v>128.76</v>
      </c>
      <c r="G46" s="71">
        <f t="shared" si="4"/>
        <v>0</v>
      </c>
      <c r="H46" s="100">
        <f t="shared" si="5"/>
        <v>427000</v>
      </c>
      <c r="I46" s="107">
        <f>Lotes!J43</f>
        <v>0.04</v>
      </c>
      <c r="J46" s="100">
        <f t="shared" si="6"/>
        <v>444080</v>
      </c>
      <c r="K46" s="100">
        <f t="shared" si="7"/>
        <v>1545.12</v>
      </c>
      <c r="L46" s="52">
        <f t="shared" si="8"/>
        <v>446000</v>
      </c>
      <c r="M46" s="108">
        <f>Precios!J42</f>
        <v>430593.4</v>
      </c>
      <c r="N46" s="100">
        <f t="shared" si="9"/>
        <v>15406.599999999977</v>
      </c>
      <c r="O46" s="102">
        <f t="shared" si="10"/>
        <v>3.5779926027663167E-2</v>
      </c>
      <c r="P46" s="77">
        <f>IFERROR(L46/(Precios!D42+Precios!E42),"")</f>
        <v>1663.0993310313454</v>
      </c>
    </row>
    <row r="47" spans="1:16" x14ac:dyDescent="0.25">
      <c r="A47" s="92" t="str">
        <f>Lotes!A44</f>
        <v>B-002</v>
      </c>
      <c r="B47" s="93" t="str">
        <f>Lotes!B44</f>
        <v>T2</v>
      </c>
      <c r="C47" s="93" t="str">
        <f>Lotes!C44</f>
        <v>Fase 4</v>
      </c>
      <c r="D47" s="76">
        <f>Lotes!D44</f>
        <v>822.83</v>
      </c>
      <c r="E47" s="106">
        <f t="shared" si="2"/>
        <v>800</v>
      </c>
      <c r="F47" s="71">
        <f t="shared" si="3"/>
        <v>22.830000000000041</v>
      </c>
      <c r="G47" s="71">
        <f t="shared" si="4"/>
        <v>0</v>
      </c>
      <c r="H47" s="100">
        <f t="shared" si="5"/>
        <v>427000</v>
      </c>
      <c r="I47" s="107">
        <f>Lotes!J44</f>
        <v>0.03</v>
      </c>
      <c r="J47" s="100">
        <f t="shared" si="6"/>
        <v>439810</v>
      </c>
      <c r="K47" s="100">
        <f t="shared" si="7"/>
        <v>273.96000000000049</v>
      </c>
      <c r="L47" s="52">
        <f t="shared" si="8"/>
        <v>440000</v>
      </c>
      <c r="M47" s="108">
        <f>Precios!J43</f>
        <v>427415.50000000006</v>
      </c>
      <c r="N47" s="100">
        <f t="shared" si="9"/>
        <v>12584.499999999942</v>
      </c>
      <c r="O47" s="102">
        <f t="shared" si="10"/>
        <v>2.9443246676828381E-2</v>
      </c>
      <c r="P47" s="77">
        <f>IFERROR(L47/(Precios!D43+Precios!E43),"")</f>
        <v>1640.7257974300269</v>
      </c>
    </row>
    <row r="48" spans="1:16" x14ac:dyDescent="0.25">
      <c r="A48" s="92" t="str">
        <f>Lotes!A45</f>
        <v>B-003</v>
      </c>
      <c r="B48" s="93" t="str">
        <f>Lotes!B45</f>
        <v>T2</v>
      </c>
      <c r="C48" s="93" t="str">
        <f>Lotes!C45</f>
        <v>Fase 4</v>
      </c>
      <c r="D48" s="76">
        <f>Lotes!D45</f>
        <v>795.65</v>
      </c>
      <c r="E48" s="106">
        <f t="shared" si="2"/>
        <v>800</v>
      </c>
      <c r="F48" s="71">
        <f t="shared" si="3"/>
        <v>0</v>
      </c>
      <c r="G48" s="71">
        <f t="shared" si="4"/>
        <v>4.3500000000000227</v>
      </c>
      <c r="H48" s="100">
        <f t="shared" si="5"/>
        <v>427000</v>
      </c>
      <c r="I48" s="107">
        <f>Lotes!J45</f>
        <v>3.9999999999999994E-2</v>
      </c>
      <c r="J48" s="100">
        <f t="shared" si="6"/>
        <v>444080</v>
      </c>
      <c r="K48" s="100">
        <f t="shared" si="7"/>
        <v>0</v>
      </c>
      <c r="L48" s="52">
        <f t="shared" si="8"/>
        <v>444000</v>
      </c>
      <c r="M48" s="108">
        <f>Precios!J44</f>
        <v>426600.10000000003</v>
      </c>
      <c r="N48" s="100">
        <f t="shared" si="9"/>
        <v>17399.899999999965</v>
      </c>
      <c r="O48" s="102">
        <f t="shared" si="10"/>
        <v>4.0787379093441288E-2</v>
      </c>
      <c r="P48" s="77">
        <f>IFERROR(L48/(Precios!D44+Precios!E44),"")</f>
        <v>1655.6414864975727</v>
      </c>
    </row>
    <row r="49" spans="1:16" x14ac:dyDescent="0.25">
      <c r="A49" s="92" t="str">
        <f>Lotes!A46</f>
        <v>B-004</v>
      </c>
      <c r="B49" s="93" t="str">
        <f>Lotes!B46</f>
        <v>T2</v>
      </c>
      <c r="C49" s="93" t="str">
        <f>Lotes!C46</f>
        <v>Fase 4</v>
      </c>
      <c r="D49" s="76">
        <f>Lotes!D46</f>
        <v>747.22</v>
      </c>
      <c r="E49" s="106">
        <f t="shared" si="2"/>
        <v>800</v>
      </c>
      <c r="F49" s="71">
        <f t="shared" si="3"/>
        <v>0</v>
      </c>
      <c r="G49" s="71">
        <f t="shared" si="4"/>
        <v>52.779999999999973</v>
      </c>
      <c r="H49" s="100">
        <f t="shared" si="5"/>
        <v>427000</v>
      </c>
      <c r="I49" s="107">
        <f>Lotes!J46</f>
        <v>0.06</v>
      </c>
      <c r="J49" s="100">
        <f t="shared" si="6"/>
        <v>452620</v>
      </c>
      <c r="K49" s="100">
        <f t="shared" si="7"/>
        <v>0</v>
      </c>
      <c r="L49" s="52">
        <f t="shared" si="8"/>
        <v>453000</v>
      </c>
      <c r="M49" s="108">
        <f>Precios!J45</f>
        <v>425147.2</v>
      </c>
      <c r="N49" s="100">
        <f t="shared" si="9"/>
        <v>27852.799999999988</v>
      </c>
      <c r="O49" s="102">
        <f t="shared" si="10"/>
        <v>6.5513309272647188E-2</v>
      </c>
      <c r="P49" s="77">
        <f>IFERROR(L49/(Precios!D45+Precios!E45),"")</f>
        <v>1689.2017868995504</v>
      </c>
    </row>
    <row r="50" spans="1:16" x14ac:dyDescent="0.25">
      <c r="A50" s="92" t="str">
        <f>Lotes!A47</f>
        <v>B-005</v>
      </c>
      <c r="B50" s="93" t="str">
        <f>Lotes!B47</f>
        <v>T2</v>
      </c>
      <c r="C50" s="93" t="str">
        <f>Lotes!C47</f>
        <v>Fase 4</v>
      </c>
      <c r="D50" s="76">
        <f>Lotes!D47</f>
        <v>1127.3900000000001</v>
      </c>
      <c r="E50" s="106">
        <f t="shared" si="2"/>
        <v>800</v>
      </c>
      <c r="F50" s="71">
        <f t="shared" si="3"/>
        <v>327.3900000000001</v>
      </c>
      <c r="G50" s="71">
        <f t="shared" si="4"/>
        <v>0</v>
      </c>
      <c r="H50" s="100">
        <f t="shared" si="5"/>
        <v>427000</v>
      </c>
      <c r="I50" s="107">
        <f>Lotes!J47</f>
        <v>1.9999999999999997E-2</v>
      </c>
      <c r="J50" s="100">
        <f t="shared" si="6"/>
        <v>435540</v>
      </c>
      <c r="K50" s="100">
        <f t="shared" si="7"/>
        <v>3928.6800000000012</v>
      </c>
      <c r="L50" s="52">
        <f t="shared" si="8"/>
        <v>439000</v>
      </c>
      <c r="M50" s="108">
        <f>Precios!J46</f>
        <v>436552.30000000005</v>
      </c>
      <c r="N50" s="100">
        <f t="shared" si="9"/>
        <v>2447.6999999999534</v>
      </c>
      <c r="O50" s="102">
        <f t="shared" si="10"/>
        <v>5.6068883384647224E-3</v>
      </c>
      <c r="P50" s="77">
        <f>IFERROR(L50/(Precios!D46+Precios!E46),"")</f>
        <v>1636.9968751631404</v>
      </c>
    </row>
    <row r="51" spans="1:16" x14ac:dyDescent="0.25">
      <c r="A51" s="92" t="str">
        <f>Lotes!A48</f>
        <v>B-006</v>
      </c>
      <c r="B51" s="93" t="str">
        <f>Lotes!B48</f>
        <v>T2</v>
      </c>
      <c r="C51" s="93" t="str">
        <f>Lotes!C48</f>
        <v>Fase 4</v>
      </c>
      <c r="D51" s="76">
        <f>Lotes!D48</f>
        <v>773.59</v>
      </c>
      <c r="E51" s="106">
        <f t="shared" si="2"/>
        <v>800</v>
      </c>
      <c r="F51" s="71">
        <f t="shared" si="3"/>
        <v>0</v>
      </c>
      <c r="G51" s="71">
        <f t="shared" si="4"/>
        <v>26.409999999999968</v>
      </c>
      <c r="H51" s="100">
        <f t="shared" si="5"/>
        <v>427000</v>
      </c>
      <c r="I51" s="107">
        <f>Lotes!J48</f>
        <v>6.0000000000000005E-2</v>
      </c>
      <c r="J51" s="100">
        <f t="shared" si="6"/>
        <v>452620</v>
      </c>
      <c r="K51" s="100">
        <f t="shared" si="7"/>
        <v>0</v>
      </c>
      <c r="L51" s="52">
        <f t="shared" si="8"/>
        <v>453000</v>
      </c>
      <c r="M51" s="108">
        <f>Precios!J47</f>
        <v>425938.30000000005</v>
      </c>
      <c r="N51" s="100">
        <f t="shared" si="9"/>
        <v>27061.699999999953</v>
      </c>
      <c r="O51" s="102">
        <f t="shared" si="10"/>
        <v>6.3534319407294315E-2</v>
      </c>
      <c r="P51" s="77">
        <f>IFERROR(L51/(Precios!D47+Precios!E47),"")</f>
        <v>1689.2017868995504</v>
      </c>
    </row>
    <row r="52" spans="1:16" x14ac:dyDescent="0.25">
      <c r="A52" s="92" t="str">
        <f>Lotes!A49</f>
        <v>B-007</v>
      </c>
      <c r="B52" s="93" t="str">
        <f>Lotes!B49</f>
        <v>T2</v>
      </c>
      <c r="C52" s="93" t="str">
        <f>Lotes!C49</f>
        <v>Fase 4</v>
      </c>
      <c r="D52" s="76">
        <f>Lotes!D49</f>
        <v>754.14</v>
      </c>
      <c r="E52" s="106">
        <f t="shared" si="2"/>
        <v>800</v>
      </c>
      <c r="F52" s="71">
        <f t="shared" si="3"/>
        <v>0</v>
      </c>
      <c r="G52" s="71">
        <f t="shared" si="4"/>
        <v>45.860000000000014</v>
      </c>
      <c r="H52" s="100">
        <f t="shared" si="5"/>
        <v>427000</v>
      </c>
      <c r="I52" s="107">
        <f>Lotes!J49</f>
        <v>0.08</v>
      </c>
      <c r="J52" s="100">
        <f t="shared" si="6"/>
        <v>461160.00000000006</v>
      </c>
      <c r="K52" s="100">
        <f t="shared" si="7"/>
        <v>0</v>
      </c>
      <c r="L52" s="52">
        <f t="shared" si="8"/>
        <v>461000</v>
      </c>
      <c r="M52" s="108">
        <f>Precios!J48</f>
        <v>425354.80000000005</v>
      </c>
      <c r="N52" s="100">
        <f t="shared" si="9"/>
        <v>35645.199999999953</v>
      </c>
      <c r="O52" s="102">
        <f t="shared" si="10"/>
        <v>8.3801099693714395E-2</v>
      </c>
      <c r="P52" s="77">
        <f>IFERROR(L52/(Precios!D48+Precios!E48),"")</f>
        <v>1719.0331650346418</v>
      </c>
    </row>
    <row r="53" spans="1:16" x14ac:dyDescent="0.25">
      <c r="A53" s="92" t="str">
        <f>Lotes!A50</f>
        <v>B-008</v>
      </c>
      <c r="B53" s="93" t="str">
        <f>Lotes!B50</f>
        <v>T2</v>
      </c>
      <c r="C53" s="93" t="str">
        <f>Lotes!C50</f>
        <v>Fase 4</v>
      </c>
      <c r="D53" s="76">
        <f>Lotes!D50</f>
        <v>754.14</v>
      </c>
      <c r="E53" s="106">
        <f t="shared" si="2"/>
        <v>800</v>
      </c>
      <c r="F53" s="71">
        <f t="shared" si="3"/>
        <v>0</v>
      </c>
      <c r="G53" s="71">
        <f t="shared" si="4"/>
        <v>45.860000000000014</v>
      </c>
      <c r="H53" s="100">
        <f t="shared" si="5"/>
        <v>427000</v>
      </c>
      <c r="I53" s="107">
        <f>Lotes!J50</f>
        <v>0.08</v>
      </c>
      <c r="J53" s="100">
        <f t="shared" si="6"/>
        <v>461160.00000000006</v>
      </c>
      <c r="K53" s="100">
        <f t="shared" si="7"/>
        <v>0</v>
      </c>
      <c r="L53" s="52">
        <f t="shared" si="8"/>
        <v>461000</v>
      </c>
      <c r="M53" s="108">
        <f>Precios!J49</f>
        <v>425354.80000000005</v>
      </c>
      <c r="N53" s="100">
        <f t="shared" si="9"/>
        <v>35645.199999999953</v>
      </c>
      <c r="O53" s="102">
        <f t="shared" si="10"/>
        <v>8.3801099693714395E-2</v>
      </c>
      <c r="P53" s="77">
        <f>IFERROR(L53/(Precios!D49+Precios!E49),"")</f>
        <v>1719.0331650346418</v>
      </c>
    </row>
    <row r="54" spans="1:16" x14ac:dyDescent="0.25">
      <c r="A54" s="92" t="str">
        <f>Lotes!A51</f>
        <v>B-009</v>
      </c>
      <c r="B54" s="93" t="str">
        <f>Lotes!B51</f>
        <v>T2</v>
      </c>
      <c r="C54" s="93" t="str">
        <f>Lotes!C51</f>
        <v>Fase 4</v>
      </c>
      <c r="D54" s="76">
        <f>Lotes!D51</f>
        <v>754.33</v>
      </c>
      <c r="E54" s="106">
        <f t="shared" si="2"/>
        <v>800</v>
      </c>
      <c r="F54" s="71">
        <f t="shared" si="3"/>
        <v>0</v>
      </c>
      <c r="G54" s="71">
        <f t="shared" si="4"/>
        <v>45.669999999999959</v>
      </c>
      <c r="H54" s="100">
        <f t="shared" si="5"/>
        <v>427000</v>
      </c>
      <c r="I54" s="107">
        <f>Lotes!J51</f>
        <v>-0.01</v>
      </c>
      <c r="J54" s="100">
        <f t="shared" si="6"/>
        <v>422730</v>
      </c>
      <c r="K54" s="100">
        <f t="shared" si="7"/>
        <v>0</v>
      </c>
      <c r="L54" s="52">
        <f t="shared" si="8"/>
        <v>423000</v>
      </c>
      <c r="M54" s="108">
        <f>Precios!J50</f>
        <v>425360.50000000006</v>
      </c>
      <c r="N54" s="100">
        <f t="shared" si="9"/>
        <v>-2360.5000000000582</v>
      </c>
      <c r="O54" s="102">
        <f t="shared" si="10"/>
        <v>-5.5494104412611373E-3</v>
      </c>
      <c r="P54" s="77">
        <f>IFERROR(L54/(Precios!D50+Precios!E50),"")</f>
        <v>1577.3341188929576</v>
      </c>
    </row>
    <row r="55" spans="1:16" x14ac:dyDescent="0.25">
      <c r="A55" s="92" t="str">
        <f>Lotes!A52</f>
        <v>B-010</v>
      </c>
      <c r="B55" s="93" t="str">
        <f>Lotes!B52</f>
        <v>T2</v>
      </c>
      <c r="C55" s="93" t="str">
        <f>Lotes!C52</f>
        <v>Fase 4</v>
      </c>
      <c r="D55" s="76">
        <f>Lotes!D52</f>
        <v>729.71</v>
      </c>
      <c r="E55" s="106">
        <f t="shared" si="2"/>
        <v>800</v>
      </c>
      <c r="F55" s="71">
        <f t="shared" si="3"/>
        <v>0</v>
      </c>
      <c r="G55" s="71">
        <f t="shared" si="4"/>
        <v>70.289999999999964</v>
      </c>
      <c r="H55" s="100">
        <f t="shared" si="5"/>
        <v>427000</v>
      </c>
      <c r="I55" s="107">
        <f>Lotes!J52</f>
        <v>6.0000000000000005E-2</v>
      </c>
      <c r="J55" s="100">
        <f t="shared" si="6"/>
        <v>452620</v>
      </c>
      <c r="K55" s="100">
        <f t="shared" si="7"/>
        <v>0</v>
      </c>
      <c r="L55" s="52">
        <f t="shared" si="8"/>
        <v>453000</v>
      </c>
      <c r="M55" s="108">
        <f>Precios!J51</f>
        <v>424621.9</v>
      </c>
      <c r="N55" s="100">
        <f t="shared" si="9"/>
        <v>28378.099999999977</v>
      </c>
      <c r="O55" s="102">
        <f t="shared" si="10"/>
        <v>6.6831456408630779E-2</v>
      </c>
      <c r="P55" s="77">
        <f>IFERROR(L55/(Precios!D51+Precios!E51),"")</f>
        <v>1689.2017868995504</v>
      </c>
    </row>
    <row r="56" spans="1:16" x14ac:dyDescent="0.25">
      <c r="A56" s="92" t="str">
        <f>Lotes!A53</f>
        <v>B-011</v>
      </c>
      <c r="B56" s="93" t="str">
        <f>Lotes!B53</f>
        <v>T2</v>
      </c>
      <c r="C56" s="93" t="str">
        <f>Lotes!C53</f>
        <v>Fase 4</v>
      </c>
      <c r="D56" s="76">
        <f>Lotes!D53</f>
        <v>1046.69</v>
      </c>
      <c r="E56" s="106">
        <f t="shared" si="2"/>
        <v>800</v>
      </c>
      <c r="F56" s="71">
        <f t="shared" si="3"/>
        <v>246.69000000000005</v>
      </c>
      <c r="G56" s="71">
        <f t="shared" si="4"/>
        <v>0</v>
      </c>
      <c r="H56" s="100">
        <f t="shared" si="5"/>
        <v>427000</v>
      </c>
      <c r="I56" s="107">
        <f>Lotes!J53</f>
        <v>0.03</v>
      </c>
      <c r="J56" s="100">
        <f t="shared" si="6"/>
        <v>439810</v>
      </c>
      <c r="K56" s="100">
        <f t="shared" si="7"/>
        <v>2960.2800000000007</v>
      </c>
      <c r="L56" s="52">
        <f t="shared" si="8"/>
        <v>443000</v>
      </c>
      <c r="M56" s="108">
        <f>Precios!J52</f>
        <v>434131.30000000005</v>
      </c>
      <c r="N56" s="100">
        <f t="shared" si="9"/>
        <v>8868.6999999999534</v>
      </c>
      <c r="O56" s="102">
        <f t="shared" si="10"/>
        <v>2.042861226545967E-2</v>
      </c>
      <c r="P56" s="77">
        <f>IFERROR(L56/(Precios!D52+Precios!E52),"")</f>
        <v>1651.9125642306863</v>
      </c>
    </row>
    <row r="57" spans="1:16" x14ac:dyDescent="0.25">
      <c r="A57" s="92" t="str">
        <f>Lotes!A54</f>
        <v>B-012</v>
      </c>
      <c r="B57" s="93" t="str">
        <f>Lotes!B54</f>
        <v>T2</v>
      </c>
      <c r="C57" s="93" t="str">
        <f>Lotes!C54</f>
        <v>Fase 4</v>
      </c>
      <c r="D57" s="76">
        <f>Lotes!D54</f>
        <v>756.16</v>
      </c>
      <c r="E57" s="106">
        <f t="shared" si="2"/>
        <v>800</v>
      </c>
      <c r="F57" s="71">
        <f t="shared" si="3"/>
        <v>0</v>
      </c>
      <c r="G57" s="71">
        <f t="shared" si="4"/>
        <v>43.840000000000032</v>
      </c>
      <c r="H57" s="100">
        <f t="shared" si="5"/>
        <v>427000</v>
      </c>
      <c r="I57" s="107">
        <f>Lotes!J54</f>
        <v>-0.02</v>
      </c>
      <c r="J57" s="100">
        <f t="shared" si="6"/>
        <v>418460</v>
      </c>
      <c r="K57" s="100">
        <f t="shared" si="7"/>
        <v>0</v>
      </c>
      <c r="L57" s="52">
        <f t="shared" si="8"/>
        <v>418000</v>
      </c>
      <c r="M57" s="108">
        <f>Precios!J53</f>
        <v>425415.4</v>
      </c>
      <c r="N57" s="100">
        <f t="shared" si="9"/>
        <v>-7415.4000000000233</v>
      </c>
      <c r="O57" s="102">
        <f t="shared" si="10"/>
        <v>-1.7430962771916633E-2</v>
      </c>
      <c r="P57" s="77">
        <f>IFERROR(L57/(Precios!D53+Precios!E53),"")</f>
        <v>1558.6895075585255</v>
      </c>
    </row>
    <row r="58" spans="1:16" x14ac:dyDescent="0.25">
      <c r="A58" s="92" t="str">
        <f>Lotes!A55</f>
        <v>B-013</v>
      </c>
      <c r="B58" s="93" t="str">
        <f>Lotes!B55</f>
        <v>T2</v>
      </c>
      <c r="C58" s="93" t="str">
        <f>Lotes!C55</f>
        <v>Fase 4</v>
      </c>
      <c r="D58" s="76">
        <f>Lotes!D55</f>
        <v>789.57</v>
      </c>
      <c r="E58" s="106">
        <f t="shared" si="2"/>
        <v>800</v>
      </c>
      <c r="F58" s="71">
        <f t="shared" si="3"/>
        <v>0</v>
      </c>
      <c r="G58" s="71">
        <f t="shared" si="4"/>
        <v>10.42999999999995</v>
      </c>
      <c r="H58" s="100">
        <f t="shared" si="5"/>
        <v>427000</v>
      </c>
      <c r="I58" s="107">
        <f>Lotes!J55</f>
        <v>9.0000000000000011E-2</v>
      </c>
      <c r="J58" s="100">
        <f t="shared" si="6"/>
        <v>465430.00000000006</v>
      </c>
      <c r="K58" s="100">
        <f t="shared" si="7"/>
        <v>0</v>
      </c>
      <c r="L58" s="52">
        <f t="shared" si="8"/>
        <v>465000</v>
      </c>
      <c r="M58" s="108">
        <f>Precios!J54</f>
        <v>426417.7</v>
      </c>
      <c r="N58" s="100">
        <f t="shared" si="9"/>
        <v>38582.299999999988</v>
      </c>
      <c r="O58" s="102">
        <f t="shared" si="10"/>
        <v>9.0480062155018401E-2</v>
      </c>
      <c r="P58" s="77">
        <f>IFERROR(L58/(Precios!D54+Precios!E54),"")</f>
        <v>1733.9488541021876</v>
      </c>
    </row>
    <row r="59" spans="1:16" x14ac:dyDescent="0.25">
      <c r="A59" s="92" t="str">
        <f>Lotes!A56</f>
        <v>B-014</v>
      </c>
      <c r="B59" s="93" t="str">
        <f>Lotes!B56</f>
        <v>T2</v>
      </c>
      <c r="C59" s="93" t="str">
        <f>Lotes!C56</f>
        <v>Fase 4</v>
      </c>
      <c r="D59" s="76">
        <f>Lotes!D56</f>
        <v>754.99</v>
      </c>
      <c r="E59" s="106">
        <f t="shared" si="2"/>
        <v>800</v>
      </c>
      <c r="F59" s="71">
        <f t="shared" si="3"/>
        <v>0</v>
      </c>
      <c r="G59" s="71">
        <f t="shared" si="4"/>
        <v>45.009999999999991</v>
      </c>
      <c r="H59" s="100">
        <f t="shared" si="5"/>
        <v>427000</v>
      </c>
      <c r="I59" s="107">
        <f>Lotes!J56</f>
        <v>0.01</v>
      </c>
      <c r="J59" s="100">
        <f t="shared" si="6"/>
        <v>431270</v>
      </c>
      <c r="K59" s="100">
        <f t="shared" si="7"/>
        <v>0</v>
      </c>
      <c r="L59" s="52">
        <f t="shared" si="8"/>
        <v>431000</v>
      </c>
      <c r="M59" s="108">
        <f>Precios!J55</f>
        <v>425380.30000000005</v>
      </c>
      <c r="N59" s="100">
        <f t="shared" si="9"/>
        <v>5619.6999999999534</v>
      </c>
      <c r="O59" s="102">
        <f t="shared" si="10"/>
        <v>1.3211002013962454E-2</v>
      </c>
      <c r="P59" s="77">
        <f>IFERROR(L59/(Precios!D55+Precios!E55),"")</f>
        <v>1607.165497028049</v>
      </c>
    </row>
    <row r="60" spans="1:16" x14ac:dyDescent="0.25">
      <c r="A60" s="92" t="str">
        <f>Lotes!A57</f>
        <v>C-001</v>
      </c>
      <c r="B60" s="93" t="str">
        <f>Lotes!B57</f>
        <v>T3</v>
      </c>
      <c r="C60" s="93" t="str">
        <f>Lotes!C57</f>
        <v>Fase 4</v>
      </c>
      <c r="D60" s="76">
        <f>Lotes!D57</f>
        <v>1404.01</v>
      </c>
      <c r="E60" s="106">
        <f t="shared" si="2"/>
        <v>800</v>
      </c>
      <c r="F60" s="71">
        <f t="shared" si="3"/>
        <v>604.01</v>
      </c>
      <c r="G60" s="71">
        <f t="shared" si="4"/>
        <v>0</v>
      </c>
      <c r="H60" s="100">
        <f t="shared" si="5"/>
        <v>351000</v>
      </c>
      <c r="I60" s="107">
        <f>Lotes!J57</f>
        <v>1.9999999999999997E-2</v>
      </c>
      <c r="J60" s="100">
        <f t="shared" si="6"/>
        <v>358020</v>
      </c>
      <c r="K60" s="100">
        <f t="shared" si="7"/>
        <v>7248.12</v>
      </c>
      <c r="L60" s="52">
        <f t="shared" si="8"/>
        <v>365000</v>
      </c>
      <c r="M60" s="108">
        <f>Precios!J56</f>
        <v>369057.5</v>
      </c>
      <c r="N60" s="100">
        <f t="shared" si="9"/>
        <v>-4057.5</v>
      </c>
      <c r="O60" s="102">
        <f t="shared" si="10"/>
        <v>-1.0994221767610737E-2</v>
      </c>
      <c r="P60" s="77">
        <f>IFERROR(L60/(Precios!D56+Precios!E56),"")</f>
        <v>1803.466608692215</v>
      </c>
    </row>
    <row r="61" spans="1:16" x14ac:dyDescent="0.25">
      <c r="A61" s="92" t="str">
        <f>Lotes!A58</f>
        <v>C-002</v>
      </c>
      <c r="B61" s="93" t="str">
        <f>Lotes!B58</f>
        <v>T3</v>
      </c>
      <c r="C61" s="93" t="str">
        <f>Lotes!C58</f>
        <v>Fase 4</v>
      </c>
      <c r="D61" s="76">
        <f>Lotes!D58</f>
        <v>1054.49</v>
      </c>
      <c r="E61" s="106">
        <f t="shared" si="2"/>
        <v>800</v>
      </c>
      <c r="F61" s="71">
        <f t="shared" si="3"/>
        <v>254.49</v>
      </c>
      <c r="G61" s="71">
        <f t="shared" si="4"/>
        <v>0</v>
      </c>
      <c r="H61" s="100">
        <f t="shared" si="5"/>
        <v>351000</v>
      </c>
      <c r="I61" s="107">
        <f>Lotes!J58</f>
        <v>9.0000000000000011E-2</v>
      </c>
      <c r="J61" s="100">
        <f t="shared" si="6"/>
        <v>382590</v>
      </c>
      <c r="K61" s="100">
        <f t="shared" si="7"/>
        <v>3053.88</v>
      </c>
      <c r="L61" s="52">
        <f t="shared" si="8"/>
        <v>386000</v>
      </c>
      <c r="M61" s="108">
        <f>Precios!J57</f>
        <v>358571.9</v>
      </c>
      <c r="N61" s="100">
        <f t="shared" si="9"/>
        <v>27428.099999999977</v>
      </c>
      <c r="O61" s="102">
        <f t="shared" si="10"/>
        <v>7.6492608595375086E-2</v>
      </c>
      <c r="P61" s="77">
        <f>IFERROR(L61/(Precios!D57+Precios!E57),"")</f>
        <v>1907.2277012471095</v>
      </c>
    </row>
    <row r="62" spans="1:16" x14ac:dyDescent="0.25">
      <c r="A62" s="92" t="str">
        <f>Lotes!A59</f>
        <v>C-003</v>
      </c>
      <c r="B62" s="93" t="str">
        <f>Lotes!B59</f>
        <v>T3</v>
      </c>
      <c r="C62" s="93" t="str">
        <f>Lotes!C59</f>
        <v>Fase 4</v>
      </c>
      <c r="D62" s="76">
        <f>Lotes!D59</f>
        <v>852.04</v>
      </c>
      <c r="E62" s="106">
        <f t="shared" si="2"/>
        <v>800</v>
      </c>
      <c r="F62" s="71">
        <f t="shared" si="3"/>
        <v>52.039999999999964</v>
      </c>
      <c r="G62" s="71">
        <f t="shared" si="4"/>
        <v>0</v>
      </c>
      <c r="H62" s="100">
        <f t="shared" si="5"/>
        <v>351000</v>
      </c>
      <c r="I62" s="107">
        <f>Lotes!J59</f>
        <v>1.9999999999999997E-2</v>
      </c>
      <c r="J62" s="100">
        <f t="shared" si="6"/>
        <v>358020</v>
      </c>
      <c r="K62" s="100">
        <f t="shared" si="7"/>
        <v>624.47999999999956</v>
      </c>
      <c r="L62" s="52">
        <f t="shared" si="8"/>
        <v>359000</v>
      </c>
      <c r="M62" s="108">
        <f>Precios!J58</f>
        <v>352498.4</v>
      </c>
      <c r="N62" s="100">
        <f t="shared" si="9"/>
        <v>6501.5999999999767</v>
      </c>
      <c r="O62" s="102">
        <f t="shared" si="10"/>
        <v>1.8444339038134572E-2</v>
      </c>
      <c r="P62" s="77">
        <f>IFERROR(L62/(Precios!D58+Precios!E58),"")</f>
        <v>1773.8205822479592</v>
      </c>
    </row>
    <row r="63" spans="1:16" x14ac:dyDescent="0.25">
      <c r="A63" s="92" t="str">
        <f>Lotes!A60</f>
        <v>C-004</v>
      </c>
      <c r="B63" s="93" t="str">
        <f>Lotes!B60</f>
        <v>T3</v>
      </c>
      <c r="C63" s="93" t="str">
        <f>Lotes!C60</f>
        <v>Fase 4</v>
      </c>
      <c r="D63" s="76">
        <f>Lotes!D60</f>
        <v>947.6</v>
      </c>
      <c r="E63" s="106">
        <f t="shared" si="2"/>
        <v>800</v>
      </c>
      <c r="F63" s="71">
        <f t="shared" si="3"/>
        <v>147.60000000000002</v>
      </c>
      <c r="G63" s="71">
        <f t="shared" si="4"/>
        <v>0</v>
      </c>
      <c r="H63" s="100">
        <f t="shared" si="5"/>
        <v>351000</v>
      </c>
      <c r="I63" s="107">
        <f>Lotes!J60</f>
        <v>1.9999999999999997E-2</v>
      </c>
      <c r="J63" s="100">
        <f t="shared" si="6"/>
        <v>358020</v>
      </c>
      <c r="K63" s="100">
        <f t="shared" si="7"/>
        <v>1771.2000000000003</v>
      </c>
      <c r="L63" s="52">
        <f t="shared" si="8"/>
        <v>360000</v>
      </c>
      <c r="M63" s="108">
        <f>Precios!J59</f>
        <v>355365.2</v>
      </c>
      <c r="N63" s="100">
        <f t="shared" si="9"/>
        <v>4634.7999999999884</v>
      </c>
      <c r="O63" s="102">
        <f t="shared" si="10"/>
        <v>1.3042357552174462E-2</v>
      </c>
      <c r="P63" s="77">
        <f>IFERROR(L63/(Precios!D59+Precios!E59),"")</f>
        <v>1778.7615866553353</v>
      </c>
    </row>
    <row r="64" spans="1:16" x14ac:dyDescent="0.25">
      <c r="A64" s="92" t="str">
        <f>Lotes!A61</f>
        <v>C-005</v>
      </c>
      <c r="B64" s="93" t="str">
        <f>Lotes!B61</f>
        <v>T3</v>
      </c>
      <c r="C64" s="93" t="str">
        <f>Lotes!C61</f>
        <v>Fase 4</v>
      </c>
      <c r="D64" s="76">
        <f>Lotes!D61</f>
        <v>753</v>
      </c>
      <c r="E64" s="106">
        <f t="shared" si="2"/>
        <v>800</v>
      </c>
      <c r="F64" s="71">
        <f t="shared" si="3"/>
        <v>0</v>
      </c>
      <c r="G64" s="71">
        <f t="shared" si="4"/>
        <v>47</v>
      </c>
      <c r="H64" s="100">
        <f t="shared" si="5"/>
        <v>351000</v>
      </c>
      <c r="I64" s="107">
        <f>Lotes!J61</f>
        <v>0.04</v>
      </c>
      <c r="J64" s="100">
        <f t="shared" si="6"/>
        <v>365040</v>
      </c>
      <c r="K64" s="100">
        <f t="shared" si="7"/>
        <v>0</v>
      </c>
      <c r="L64" s="52">
        <f t="shared" si="8"/>
        <v>365000</v>
      </c>
      <c r="M64" s="108">
        <f>Precios!J60</f>
        <v>349527.2</v>
      </c>
      <c r="N64" s="100">
        <f t="shared" si="9"/>
        <v>15472.799999999988</v>
      </c>
      <c r="O64" s="102">
        <f t="shared" si="10"/>
        <v>4.4267799473116792E-2</v>
      </c>
      <c r="P64" s="77">
        <f>IFERROR(L64/(Precios!D60+Precios!E60),"")</f>
        <v>1803.466608692215</v>
      </c>
    </row>
    <row r="65" spans="1:16" x14ac:dyDescent="0.25">
      <c r="A65" s="92" t="str">
        <f>Lotes!A62</f>
        <v>C-006</v>
      </c>
      <c r="B65" s="93" t="str">
        <f>Lotes!B62</f>
        <v>T3</v>
      </c>
      <c r="C65" s="93" t="str">
        <f>Lotes!C62</f>
        <v>Fase 4</v>
      </c>
      <c r="D65" s="76">
        <f>Lotes!D62</f>
        <v>759.1</v>
      </c>
      <c r="E65" s="106">
        <f t="shared" si="2"/>
        <v>800</v>
      </c>
      <c r="F65" s="71">
        <f t="shared" si="3"/>
        <v>0</v>
      </c>
      <c r="G65" s="71">
        <f t="shared" si="4"/>
        <v>40.899999999999977</v>
      </c>
      <c r="H65" s="100">
        <f t="shared" si="5"/>
        <v>351000</v>
      </c>
      <c r="I65" s="107">
        <f>Lotes!J62</f>
        <v>6.0000000000000005E-2</v>
      </c>
      <c r="J65" s="100">
        <f t="shared" si="6"/>
        <v>372060</v>
      </c>
      <c r="K65" s="100">
        <f t="shared" si="7"/>
        <v>0</v>
      </c>
      <c r="L65" s="52">
        <f t="shared" si="8"/>
        <v>372000</v>
      </c>
      <c r="M65" s="108">
        <f>Precios!J61</f>
        <v>349710.2</v>
      </c>
      <c r="N65" s="100">
        <f t="shared" si="9"/>
        <v>22289.799999999988</v>
      </c>
      <c r="O65" s="102">
        <f t="shared" si="10"/>
        <v>6.3737917853125214E-2</v>
      </c>
      <c r="P65" s="77">
        <f>IFERROR(L65/(Precios!D61+Precios!E61),"")</f>
        <v>1838.0536395438464</v>
      </c>
    </row>
    <row r="66" spans="1:16" x14ac:dyDescent="0.25">
      <c r="A66" s="92" t="str">
        <f>Lotes!A63</f>
        <v>C-007</v>
      </c>
      <c r="B66" s="93" t="str">
        <f>Lotes!B63</f>
        <v>T3</v>
      </c>
      <c r="C66" s="93" t="str">
        <f>Lotes!C63</f>
        <v>Fase 4</v>
      </c>
      <c r="D66" s="76">
        <f>Lotes!D63</f>
        <v>708.38</v>
      </c>
      <c r="E66" s="106">
        <f t="shared" si="2"/>
        <v>800</v>
      </c>
      <c r="F66" s="71">
        <f t="shared" si="3"/>
        <v>0</v>
      </c>
      <c r="G66" s="71">
        <f t="shared" si="4"/>
        <v>91.62</v>
      </c>
      <c r="H66" s="100">
        <f t="shared" si="5"/>
        <v>351000</v>
      </c>
      <c r="I66" s="107">
        <f>Lotes!J63</f>
        <v>-0.02</v>
      </c>
      <c r="J66" s="100">
        <f t="shared" si="6"/>
        <v>343980</v>
      </c>
      <c r="K66" s="100">
        <f t="shared" si="7"/>
        <v>0</v>
      </c>
      <c r="L66" s="52">
        <f t="shared" si="8"/>
        <v>344000</v>
      </c>
      <c r="M66" s="108">
        <f>Precios!J62</f>
        <v>348188.60000000003</v>
      </c>
      <c r="N66" s="100">
        <f t="shared" si="9"/>
        <v>-4188.6000000000349</v>
      </c>
      <c r="O66" s="102">
        <f t="shared" si="10"/>
        <v>-1.2029687359092269E-2</v>
      </c>
      <c r="P66" s="77">
        <f>IFERROR(L66/(Precios!D62+Precios!E62),"")</f>
        <v>1699.7055161373203</v>
      </c>
    </row>
    <row r="67" spans="1:16" x14ac:dyDescent="0.25">
      <c r="A67" s="92" t="str">
        <f>Lotes!A64</f>
        <v>C-008</v>
      </c>
      <c r="B67" s="93" t="str">
        <f>Lotes!B64</f>
        <v>T3</v>
      </c>
      <c r="C67" s="93" t="str">
        <f>Lotes!C64</f>
        <v>Fase 4</v>
      </c>
      <c r="D67" s="76">
        <f>Lotes!D64</f>
        <v>1060.3499999999999</v>
      </c>
      <c r="E67" s="106">
        <f t="shared" si="2"/>
        <v>800</v>
      </c>
      <c r="F67" s="71">
        <f t="shared" si="3"/>
        <v>260.34999999999991</v>
      </c>
      <c r="G67" s="71">
        <f t="shared" si="4"/>
        <v>0</v>
      </c>
      <c r="H67" s="100">
        <f t="shared" si="5"/>
        <v>351000</v>
      </c>
      <c r="I67" s="107">
        <f>Lotes!J64</f>
        <v>0</v>
      </c>
      <c r="J67" s="100">
        <f t="shared" si="6"/>
        <v>351000</v>
      </c>
      <c r="K67" s="100">
        <f t="shared" si="7"/>
        <v>3124.1999999999989</v>
      </c>
      <c r="L67" s="52">
        <f t="shared" si="8"/>
        <v>354000</v>
      </c>
      <c r="M67" s="108">
        <f>Precios!J63</f>
        <v>358747.7</v>
      </c>
      <c r="N67" s="100">
        <f t="shared" si="9"/>
        <v>-4747.7000000000116</v>
      </c>
      <c r="O67" s="102">
        <f t="shared" si="10"/>
        <v>-1.3234091814386577E-2</v>
      </c>
      <c r="P67" s="77">
        <f>IFERROR(L67/(Precios!D63+Precios!E63),"")</f>
        <v>1749.1155602110796</v>
      </c>
    </row>
    <row r="68" spans="1:16" x14ac:dyDescent="0.25">
      <c r="A68" s="92" t="str">
        <f>Lotes!A65</f>
        <v>C-009</v>
      </c>
      <c r="B68" s="93" t="str">
        <f>Lotes!B65</f>
        <v>T3</v>
      </c>
      <c r="C68" s="93" t="str">
        <f>Lotes!C65</f>
        <v>Fase 4</v>
      </c>
      <c r="D68" s="76">
        <f>Lotes!D65</f>
        <v>997</v>
      </c>
      <c r="E68" s="106">
        <f t="shared" si="2"/>
        <v>800</v>
      </c>
      <c r="F68" s="71">
        <f t="shared" si="3"/>
        <v>197</v>
      </c>
      <c r="G68" s="71">
        <f t="shared" si="4"/>
        <v>0</v>
      </c>
      <c r="H68" s="100">
        <f t="shared" si="5"/>
        <v>351000</v>
      </c>
      <c r="I68" s="107">
        <f>Lotes!J65</f>
        <v>9.9999999999999967E-3</v>
      </c>
      <c r="J68" s="100">
        <f t="shared" si="6"/>
        <v>354510</v>
      </c>
      <c r="K68" s="100">
        <f t="shared" si="7"/>
        <v>2364</v>
      </c>
      <c r="L68" s="52">
        <f t="shared" si="8"/>
        <v>357000</v>
      </c>
      <c r="M68" s="108">
        <f>Precios!J64</f>
        <v>356847.2</v>
      </c>
      <c r="N68" s="100">
        <f t="shared" si="9"/>
        <v>152.79999999998836</v>
      </c>
      <c r="O68" s="102">
        <f t="shared" si="10"/>
        <v>4.2819447651540592E-4</v>
      </c>
      <c r="P68" s="77">
        <f>IFERROR(L68/(Precios!D64+Precios!E64),"")</f>
        <v>1763.9385734332075</v>
      </c>
    </row>
    <row r="69" spans="1:16" x14ac:dyDescent="0.25">
      <c r="A69" s="92" t="str">
        <f>Lotes!A66</f>
        <v>C-010</v>
      </c>
      <c r="B69" s="93" t="str">
        <f>Lotes!B66</f>
        <v>T3</v>
      </c>
      <c r="C69" s="93" t="str">
        <f>Lotes!C66</f>
        <v>Fase 4</v>
      </c>
      <c r="D69" s="76">
        <f>Lotes!D66</f>
        <v>1002.34</v>
      </c>
      <c r="E69" s="106">
        <f t="shared" si="2"/>
        <v>800</v>
      </c>
      <c r="F69" s="71">
        <f t="shared" si="3"/>
        <v>202.34000000000003</v>
      </c>
      <c r="G69" s="71">
        <f t="shared" si="4"/>
        <v>0</v>
      </c>
      <c r="H69" s="100">
        <f t="shared" si="5"/>
        <v>351000</v>
      </c>
      <c r="I69" s="107">
        <f>Lotes!J66</f>
        <v>0.01</v>
      </c>
      <c r="J69" s="100">
        <f t="shared" si="6"/>
        <v>354510</v>
      </c>
      <c r="K69" s="100">
        <f t="shared" si="7"/>
        <v>2428.0800000000004</v>
      </c>
      <c r="L69" s="52">
        <f t="shared" si="8"/>
        <v>357000</v>
      </c>
      <c r="M69" s="108">
        <f>Precios!J65</f>
        <v>357007.4</v>
      </c>
      <c r="N69" s="100">
        <f t="shared" si="9"/>
        <v>-7.4000000000232831</v>
      </c>
      <c r="O69" s="102">
        <f t="shared" si="10"/>
        <v>-2.0727861663436901E-5</v>
      </c>
      <c r="P69" s="77">
        <f>IFERROR(L69/(Precios!D65+Precios!E65),"")</f>
        <v>1763.9385734332075</v>
      </c>
    </row>
    <row r="70" spans="1:16" x14ac:dyDescent="0.25">
      <c r="A70" s="92" t="str">
        <f>Lotes!A67</f>
        <v>C-011</v>
      </c>
      <c r="B70" s="93" t="str">
        <f>Lotes!B67</f>
        <v>T3</v>
      </c>
      <c r="C70" s="93" t="str">
        <f>Lotes!C67</f>
        <v>Fase 4</v>
      </c>
      <c r="D70" s="76">
        <f>Lotes!D67</f>
        <v>1043.9000000000001</v>
      </c>
      <c r="E70" s="106">
        <f t="shared" si="2"/>
        <v>800</v>
      </c>
      <c r="F70" s="71">
        <f t="shared" si="3"/>
        <v>243.90000000000009</v>
      </c>
      <c r="G70" s="71">
        <f t="shared" si="4"/>
        <v>0</v>
      </c>
      <c r="H70" s="100">
        <f t="shared" si="5"/>
        <v>351000</v>
      </c>
      <c r="I70" s="107">
        <f>Lotes!J67</f>
        <v>0.01</v>
      </c>
      <c r="J70" s="100">
        <f t="shared" si="6"/>
        <v>354510</v>
      </c>
      <c r="K70" s="100">
        <f t="shared" si="7"/>
        <v>2926.8000000000011</v>
      </c>
      <c r="L70" s="52">
        <f t="shared" si="8"/>
        <v>357000</v>
      </c>
      <c r="M70" s="108">
        <f>Precios!J66</f>
        <v>358254.2</v>
      </c>
      <c r="N70" s="100">
        <f t="shared" si="9"/>
        <v>-1254.2000000000116</v>
      </c>
      <c r="O70" s="102">
        <f t="shared" si="10"/>
        <v>-3.5008661447653972E-3</v>
      </c>
      <c r="P70" s="77">
        <f>IFERROR(L70/(Precios!D66+Precios!E66),"")</f>
        <v>1763.9385734332075</v>
      </c>
    </row>
    <row r="71" spans="1:16" x14ac:dyDescent="0.25">
      <c r="A71" s="92" t="str">
        <f>Lotes!A68</f>
        <v>C-012</v>
      </c>
      <c r="B71" s="93" t="str">
        <f>Lotes!B68</f>
        <v>T3</v>
      </c>
      <c r="C71" s="93" t="str">
        <f>Lotes!C68</f>
        <v>Fase 4</v>
      </c>
      <c r="D71" s="76">
        <f>Lotes!D68</f>
        <v>1385.69</v>
      </c>
      <c r="E71" s="106">
        <f t="shared" si="2"/>
        <v>800</v>
      </c>
      <c r="F71" s="71">
        <f t="shared" si="3"/>
        <v>585.69000000000005</v>
      </c>
      <c r="G71" s="71">
        <f t="shared" si="4"/>
        <v>0</v>
      </c>
      <c r="H71" s="100">
        <f t="shared" si="5"/>
        <v>351000</v>
      </c>
      <c r="I71" s="107">
        <f>Lotes!J68</f>
        <v>-0.03</v>
      </c>
      <c r="J71" s="100">
        <f t="shared" si="6"/>
        <v>340470</v>
      </c>
      <c r="K71" s="100">
        <f t="shared" si="7"/>
        <v>7028.2800000000007</v>
      </c>
      <c r="L71" s="52">
        <f t="shared" si="8"/>
        <v>347000</v>
      </c>
      <c r="M71" s="108">
        <f>Precios!J67</f>
        <v>368507.9</v>
      </c>
      <c r="N71" s="100">
        <f t="shared" si="9"/>
        <v>-21507.900000000023</v>
      </c>
      <c r="O71" s="102">
        <f t="shared" si="10"/>
        <v>-5.8364827456887688E-2</v>
      </c>
      <c r="P71" s="77">
        <f>IFERROR(L71/(Precios!D67+Precios!E67),"")</f>
        <v>1714.5285293594482</v>
      </c>
    </row>
    <row r="72" spans="1:16" x14ac:dyDescent="0.25">
      <c r="A72" s="92" t="str">
        <f>Lotes!A69</f>
        <v>C-013</v>
      </c>
      <c r="B72" s="93" t="str">
        <f>Lotes!B69</f>
        <v>T3</v>
      </c>
      <c r="C72" s="93" t="str">
        <f>Lotes!C69</f>
        <v>Fase 4</v>
      </c>
      <c r="D72" s="76">
        <f>Lotes!D69</f>
        <v>903.09</v>
      </c>
      <c r="E72" s="106">
        <f t="shared" si="2"/>
        <v>800</v>
      </c>
      <c r="F72" s="71">
        <f t="shared" si="3"/>
        <v>103.09000000000003</v>
      </c>
      <c r="G72" s="71">
        <f t="shared" si="4"/>
        <v>0</v>
      </c>
      <c r="H72" s="100">
        <f t="shared" si="5"/>
        <v>351000</v>
      </c>
      <c r="I72" s="107">
        <f>Lotes!J69</f>
        <v>0.05</v>
      </c>
      <c r="J72" s="100">
        <f t="shared" si="6"/>
        <v>368550</v>
      </c>
      <c r="K72" s="100">
        <f t="shared" si="7"/>
        <v>1237.0800000000004</v>
      </c>
      <c r="L72" s="52">
        <f t="shared" si="8"/>
        <v>370000</v>
      </c>
      <c r="M72" s="108">
        <f>Precios!J68</f>
        <v>354029.9</v>
      </c>
      <c r="N72" s="100">
        <f t="shared" si="9"/>
        <v>15970.099999999977</v>
      </c>
      <c r="O72" s="102">
        <f t="shared" si="10"/>
        <v>4.5109466742780699E-2</v>
      </c>
      <c r="P72" s="77">
        <f>IFERROR(L72/(Precios!D68+Precios!E68),"")</f>
        <v>1828.1716307290947</v>
      </c>
    </row>
    <row r="73" spans="1:16" x14ac:dyDescent="0.25">
      <c r="A73" s="92" t="str">
        <f>Lotes!A70</f>
        <v>C-014</v>
      </c>
      <c r="B73" s="93" t="str">
        <f>Lotes!B70</f>
        <v>T3</v>
      </c>
      <c r="C73" s="93" t="str">
        <f>Lotes!C70</f>
        <v>Fase 4</v>
      </c>
      <c r="D73" s="76">
        <f>Lotes!D70</f>
        <v>847.42</v>
      </c>
      <c r="E73" s="106">
        <f t="shared" si="2"/>
        <v>800</v>
      </c>
      <c r="F73" s="71">
        <f t="shared" si="3"/>
        <v>47.419999999999959</v>
      </c>
      <c r="G73" s="71">
        <f t="shared" si="4"/>
        <v>0</v>
      </c>
      <c r="H73" s="100">
        <f t="shared" si="5"/>
        <v>351000</v>
      </c>
      <c r="I73" s="107">
        <f>Lotes!J70</f>
        <v>9.0000000000000011E-2</v>
      </c>
      <c r="J73" s="100">
        <f t="shared" si="6"/>
        <v>382590</v>
      </c>
      <c r="K73" s="100">
        <f t="shared" si="7"/>
        <v>569.03999999999951</v>
      </c>
      <c r="L73" s="52">
        <f t="shared" si="8"/>
        <v>383000</v>
      </c>
      <c r="M73" s="108">
        <f>Precios!J69</f>
        <v>352359.8</v>
      </c>
      <c r="N73" s="100">
        <f t="shared" si="9"/>
        <v>30640.200000000012</v>
      </c>
      <c r="O73" s="102">
        <f t="shared" si="10"/>
        <v>8.6957138697433739E-2</v>
      </c>
      <c r="P73" s="77">
        <f>IFERROR(L73/(Precios!D69+Precios!E69),"")</f>
        <v>1892.4046880249816</v>
      </c>
    </row>
    <row r="74" spans="1:16" x14ac:dyDescent="0.25">
      <c r="A74" s="92" t="str">
        <f>Lotes!A71</f>
        <v>C-015</v>
      </c>
      <c r="B74" s="93" t="str">
        <f>Lotes!B71</f>
        <v>T3</v>
      </c>
      <c r="C74" s="93" t="str">
        <f>Lotes!C71</f>
        <v>Fase 4</v>
      </c>
      <c r="D74" s="76">
        <f>Lotes!D71</f>
        <v>756.37</v>
      </c>
      <c r="E74" s="106">
        <f t="shared" si="2"/>
        <v>800</v>
      </c>
      <c r="F74" s="71">
        <f t="shared" si="3"/>
        <v>0</v>
      </c>
      <c r="G74" s="71">
        <f t="shared" si="4"/>
        <v>43.629999999999995</v>
      </c>
      <c r="H74" s="100">
        <f t="shared" si="5"/>
        <v>351000</v>
      </c>
      <c r="I74" s="107">
        <f>Lotes!J71</f>
        <v>0.05</v>
      </c>
      <c r="J74" s="100">
        <f t="shared" si="6"/>
        <v>368550</v>
      </c>
      <c r="K74" s="100">
        <f t="shared" si="7"/>
        <v>0</v>
      </c>
      <c r="L74" s="52">
        <f t="shared" si="8"/>
        <v>369000</v>
      </c>
      <c r="M74" s="108">
        <f>Precios!J70</f>
        <v>349628.3</v>
      </c>
      <c r="N74" s="100">
        <f t="shared" si="9"/>
        <v>19371.700000000012</v>
      </c>
      <c r="O74" s="102">
        <f t="shared" si="10"/>
        <v>5.5406556048237549E-2</v>
      </c>
      <c r="P74" s="77">
        <f>IFERROR(L74/(Precios!D70+Precios!E70),"")</f>
        <v>1823.2306263217185</v>
      </c>
    </row>
    <row r="75" spans="1:16" x14ac:dyDescent="0.25">
      <c r="A75" s="92" t="str">
        <f>Lotes!A72</f>
        <v>C-016</v>
      </c>
      <c r="B75" s="93" t="str">
        <f>Lotes!B72</f>
        <v>T3</v>
      </c>
      <c r="C75" s="93" t="str">
        <f>Lotes!C72</f>
        <v>Fase 4</v>
      </c>
      <c r="D75" s="76">
        <f>Lotes!D72</f>
        <v>861.39</v>
      </c>
      <c r="E75" s="106">
        <f t="shared" si="2"/>
        <v>800</v>
      </c>
      <c r="F75" s="71">
        <f t="shared" si="3"/>
        <v>61.389999999999986</v>
      </c>
      <c r="G75" s="71">
        <f t="shared" si="4"/>
        <v>0</v>
      </c>
      <c r="H75" s="100">
        <f t="shared" si="5"/>
        <v>351000</v>
      </c>
      <c r="I75" s="107">
        <f>Lotes!J72</f>
        <v>8.0000000000000016E-2</v>
      </c>
      <c r="J75" s="100">
        <f t="shared" si="6"/>
        <v>379080</v>
      </c>
      <c r="K75" s="100">
        <f t="shared" si="7"/>
        <v>736.67999999999984</v>
      </c>
      <c r="L75" s="52">
        <f t="shared" si="8"/>
        <v>380000</v>
      </c>
      <c r="M75" s="108">
        <f>Precios!J71</f>
        <v>352778.9</v>
      </c>
      <c r="N75" s="100">
        <f t="shared" si="9"/>
        <v>27221.099999999977</v>
      </c>
      <c r="O75" s="102">
        <f t="shared" si="10"/>
        <v>7.716192776835569E-2</v>
      </c>
      <c r="P75" s="77">
        <f>IFERROR(L75/(Precios!D71+Precios!E71),"")</f>
        <v>1877.581674802854</v>
      </c>
    </row>
    <row r="76" spans="1:16" x14ac:dyDescent="0.25">
      <c r="A76" s="92" t="str">
        <f>Lotes!A73</f>
        <v>C-017</v>
      </c>
      <c r="B76" s="93" t="str">
        <f>Lotes!B73</f>
        <v>T3</v>
      </c>
      <c r="C76" s="93" t="str">
        <f>Lotes!C73</f>
        <v>Fase 4</v>
      </c>
      <c r="D76" s="76">
        <f>Lotes!D73</f>
        <v>773.75</v>
      </c>
      <c r="E76" s="106">
        <f t="shared" si="2"/>
        <v>800</v>
      </c>
      <c r="F76" s="71">
        <f t="shared" si="3"/>
        <v>0</v>
      </c>
      <c r="G76" s="71">
        <f t="shared" si="4"/>
        <v>26.25</v>
      </c>
      <c r="H76" s="100">
        <f t="shared" si="5"/>
        <v>351000</v>
      </c>
      <c r="I76" s="107">
        <f>Lotes!J73</f>
        <v>7.0000000000000007E-2</v>
      </c>
      <c r="J76" s="100">
        <f t="shared" si="6"/>
        <v>375570</v>
      </c>
      <c r="K76" s="100">
        <f t="shared" si="7"/>
        <v>0</v>
      </c>
      <c r="L76" s="52">
        <f t="shared" si="8"/>
        <v>376000</v>
      </c>
      <c r="M76" s="108">
        <f>Precios!J72</f>
        <v>350149.7</v>
      </c>
      <c r="N76" s="100">
        <f t="shared" si="9"/>
        <v>25850.299999999988</v>
      </c>
      <c r="O76" s="102">
        <f t="shared" si="10"/>
        <v>7.3826423384055415E-2</v>
      </c>
      <c r="P76" s="77">
        <f>IFERROR(L76/(Precios!D72+Precios!E72),"")</f>
        <v>1857.8176571733502</v>
      </c>
    </row>
    <row r="77" spans="1:16" x14ac:dyDescent="0.25">
      <c r="A77" s="92" t="str">
        <f>Lotes!A74</f>
        <v>C-018</v>
      </c>
      <c r="B77" s="93" t="str">
        <f>Lotes!B74</f>
        <v>T3</v>
      </c>
      <c r="C77" s="93" t="str">
        <f>Lotes!C74</f>
        <v>Fase 4</v>
      </c>
      <c r="D77" s="76">
        <f>Lotes!D74</f>
        <v>932.54</v>
      </c>
      <c r="E77" s="106">
        <f t="shared" si="2"/>
        <v>800</v>
      </c>
      <c r="F77" s="71">
        <f t="shared" si="3"/>
        <v>132.53999999999996</v>
      </c>
      <c r="G77" s="71">
        <f t="shared" si="4"/>
        <v>0</v>
      </c>
      <c r="H77" s="100">
        <f t="shared" si="5"/>
        <v>351000</v>
      </c>
      <c r="I77" s="107">
        <f>Lotes!J74</f>
        <v>1.9999999999999997E-2</v>
      </c>
      <c r="J77" s="100">
        <f t="shared" si="6"/>
        <v>358020</v>
      </c>
      <c r="K77" s="100">
        <f t="shared" si="7"/>
        <v>1590.4799999999996</v>
      </c>
      <c r="L77" s="52">
        <f t="shared" si="8"/>
        <v>360000</v>
      </c>
      <c r="M77" s="108">
        <f>Precios!J73</f>
        <v>354913.4</v>
      </c>
      <c r="N77" s="100">
        <f t="shared" si="9"/>
        <v>5086.5999999999767</v>
      </c>
      <c r="O77" s="102">
        <f t="shared" si="10"/>
        <v>1.4331946891833265E-2</v>
      </c>
      <c r="P77" s="77">
        <f>IFERROR(L77/(Precios!D73+Precios!E73),"")</f>
        <v>1778.7615866553353</v>
      </c>
    </row>
    <row r="78" spans="1:16" x14ac:dyDescent="0.25">
      <c r="A78" s="92" t="str">
        <f>Lotes!A75</f>
        <v>C-019</v>
      </c>
      <c r="B78" s="93" t="str">
        <f>Lotes!B75</f>
        <v>T3</v>
      </c>
      <c r="C78" s="93" t="str">
        <f>Lotes!C75</f>
        <v>Fase 4</v>
      </c>
      <c r="D78" s="76">
        <f>Lotes!D75</f>
        <v>1002.2</v>
      </c>
      <c r="E78" s="106">
        <f t="shared" ref="E78:E141" si="11">IFERROR(VLOOKUP(B78,$A$6:$E$10,3,0),"")</f>
        <v>800</v>
      </c>
      <c r="F78" s="71">
        <f t="shared" ref="F78:F141" si="12">IF(E78="","",MAX(0,D78-E78))</f>
        <v>202.20000000000005</v>
      </c>
      <c r="G78" s="71">
        <f t="shared" ref="G78:G141" si="13">IF(E78="","",MAX(0,E78-D78))</f>
        <v>0</v>
      </c>
      <c r="H78" s="100">
        <f t="shared" ref="H78:H141" si="14">IFERROR(VLOOKUP(B78,$A$6:$E$10,5,0),"")</f>
        <v>351000</v>
      </c>
      <c r="I78" s="107">
        <f>Lotes!J75</f>
        <v>9.9999999999999967E-3</v>
      </c>
      <c r="J78" s="100">
        <f t="shared" ref="J78:J141" si="15">IF(H78="","",H78*(1+I78))</f>
        <v>354510</v>
      </c>
      <c r="K78" s="100">
        <f t="shared" ref="K78:K141" si="16">IF(E78="","",F78*$K$6-G78*$K$7)</f>
        <v>2426.4000000000005</v>
      </c>
      <c r="L78" s="52">
        <f t="shared" ref="L78:L141" si="17">IF(J78="","",ROUND((J78+K78)/$K$8,0)*$K$8)</f>
        <v>357000</v>
      </c>
      <c r="M78" s="108">
        <f>Precios!J74</f>
        <v>357003.2</v>
      </c>
      <c r="N78" s="100">
        <f t="shared" ref="N78:N141" si="18">IF(OR(L78="",M78=""),"",L78-M78)</f>
        <v>-3.2000000000116415</v>
      </c>
      <c r="O78" s="102">
        <f t="shared" ref="O78:O141" si="19">IFERROR(N78/M78,"")</f>
        <v>-8.9635050890626228E-6</v>
      </c>
      <c r="P78" s="77">
        <f>IFERROR(L78/(Precios!D74+Precios!E74),"")</f>
        <v>1763.9385734332075</v>
      </c>
    </row>
    <row r="79" spans="1:16" x14ac:dyDescent="0.25">
      <c r="A79" s="92" t="str">
        <f>Lotes!A76</f>
        <v>C-020</v>
      </c>
      <c r="B79" s="93" t="str">
        <f>Lotes!B76</f>
        <v>T3</v>
      </c>
      <c r="C79" s="93" t="str">
        <f>Lotes!C76</f>
        <v>Fase 4</v>
      </c>
      <c r="D79" s="76">
        <f>Lotes!D76</f>
        <v>1168.0999999999999</v>
      </c>
      <c r="E79" s="106">
        <f t="shared" si="11"/>
        <v>800</v>
      </c>
      <c r="F79" s="71">
        <f t="shared" si="12"/>
        <v>368.09999999999991</v>
      </c>
      <c r="G79" s="71">
        <f t="shared" si="13"/>
        <v>0</v>
      </c>
      <c r="H79" s="100">
        <f t="shared" si="14"/>
        <v>351000</v>
      </c>
      <c r="I79" s="107">
        <f>Lotes!J76</f>
        <v>9.9999999999999967E-3</v>
      </c>
      <c r="J79" s="100">
        <f t="shared" si="15"/>
        <v>354510</v>
      </c>
      <c r="K79" s="100">
        <f t="shared" si="16"/>
        <v>4417.1999999999989</v>
      </c>
      <c r="L79" s="52">
        <f t="shared" si="17"/>
        <v>359000</v>
      </c>
      <c r="M79" s="108">
        <f>Precios!J75</f>
        <v>361980.2</v>
      </c>
      <c r="N79" s="100">
        <f t="shared" si="18"/>
        <v>-2980.2000000000116</v>
      </c>
      <c r="O79" s="102">
        <f t="shared" si="19"/>
        <v>-8.2330470009133409E-3</v>
      </c>
      <c r="P79" s="77">
        <f>IFERROR(L79/(Precios!D75+Precios!E75),"")</f>
        <v>1773.8205822479592</v>
      </c>
    </row>
    <row r="80" spans="1:16" x14ac:dyDescent="0.25">
      <c r="A80" s="92" t="str">
        <f>Lotes!A77</f>
        <v>C-021</v>
      </c>
      <c r="B80" s="93" t="str">
        <f>Lotes!B77</f>
        <v>T3</v>
      </c>
      <c r="C80" s="93" t="str">
        <f>Lotes!C77</f>
        <v>Fase 4</v>
      </c>
      <c r="D80" s="76">
        <f>Lotes!D77</f>
        <v>980.33</v>
      </c>
      <c r="E80" s="106">
        <f t="shared" si="11"/>
        <v>800</v>
      </c>
      <c r="F80" s="71">
        <f t="shared" si="12"/>
        <v>180.33000000000004</v>
      </c>
      <c r="G80" s="71">
        <f t="shared" si="13"/>
        <v>0</v>
      </c>
      <c r="H80" s="100">
        <f t="shared" si="14"/>
        <v>351000</v>
      </c>
      <c r="I80" s="107">
        <f>Lotes!J77</f>
        <v>1.0000000000000004E-2</v>
      </c>
      <c r="J80" s="100">
        <f t="shared" si="15"/>
        <v>354510</v>
      </c>
      <c r="K80" s="100">
        <f t="shared" si="16"/>
        <v>2163.9600000000005</v>
      </c>
      <c r="L80" s="52">
        <f t="shared" si="17"/>
        <v>357000</v>
      </c>
      <c r="M80" s="108">
        <f>Precios!J76</f>
        <v>356347.10000000003</v>
      </c>
      <c r="N80" s="100">
        <f t="shared" si="18"/>
        <v>652.89999999996508</v>
      </c>
      <c r="O80" s="102">
        <f t="shared" si="19"/>
        <v>1.8322023667372766E-3</v>
      </c>
      <c r="P80" s="77">
        <f>IFERROR(L80/(Precios!D76+Precios!E76),"")</f>
        <v>1763.9385734332075</v>
      </c>
    </row>
    <row r="81" spans="1:16" x14ac:dyDescent="0.25">
      <c r="A81" s="92" t="str">
        <f>Lotes!A78</f>
        <v>C-022</v>
      </c>
      <c r="B81" s="93" t="str">
        <f>Lotes!B78</f>
        <v>T3</v>
      </c>
      <c r="C81" s="93" t="str">
        <f>Lotes!C78</f>
        <v>Fase 4</v>
      </c>
      <c r="D81" s="76">
        <f>Lotes!D78</f>
        <v>987.88</v>
      </c>
      <c r="E81" s="106">
        <f t="shared" si="11"/>
        <v>800</v>
      </c>
      <c r="F81" s="71">
        <f t="shared" si="12"/>
        <v>187.88</v>
      </c>
      <c r="G81" s="71">
        <f t="shared" si="13"/>
        <v>0</v>
      </c>
      <c r="H81" s="100">
        <f t="shared" si="14"/>
        <v>351000</v>
      </c>
      <c r="I81" s="107">
        <f>Lotes!J78</f>
        <v>-0.01</v>
      </c>
      <c r="J81" s="100">
        <f t="shared" si="15"/>
        <v>347490</v>
      </c>
      <c r="K81" s="100">
        <f t="shared" si="16"/>
        <v>2254.56</v>
      </c>
      <c r="L81" s="52">
        <f t="shared" si="17"/>
        <v>350000</v>
      </c>
      <c r="M81" s="108">
        <f>Precios!J77</f>
        <v>356573.60000000003</v>
      </c>
      <c r="N81" s="100">
        <f t="shared" si="18"/>
        <v>-6573.6000000000349</v>
      </c>
      <c r="O81" s="102">
        <f t="shared" si="19"/>
        <v>-1.8435464655824307E-2</v>
      </c>
      <c r="P81" s="77">
        <f>IFERROR(L81/(Precios!D77+Precios!E77),"")</f>
        <v>1729.351542581576</v>
      </c>
    </row>
    <row r="82" spans="1:16" x14ac:dyDescent="0.25">
      <c r="A82" s="92" t="str">
        <f>Lotes!A79</f>
        <v>C-023</v>
      </c>
      <c r="B82" s="93" t="str">
        <f>Lotes!B79</f>
        <v>T3</v>
      </c>
      <c r="C82" s="93" t="str">
        <f>Lotes!C79</f>
        <v>Fase 4</v>
      </c>
      <c r="D82" s="76">
        <f>Lotes!D79</f>
        <v>1029.56</v>
      </c>
      <c r="E82" s="106">
        <f t="shared" si="11"/>
        <v>800</v>
      </c>
      <c r="F82" s="71">
        <f t="shared" si="12"/>
        <v>229.55999999999995</v>
      </c>
      <c r="G82" s="71">
        <f t="shared" si="13"/>
        <v>0</v>
      </c>
      <c r="H82" s="100">
        <f t="shared" si="14"/>
        <v>351000</v>
      </c>
      <c r="I82" s="107">
        <f>Lotes!J79</f>
        <v>-0.03</v>
      </c>
      <c r="J82" s="100">
        <f t="shared" si="15"/>
        <v>340470</v>
      </c>
      <c r="K82" s="100">
        <f t="shared" si="16"/>
        <v>2754.7199999999993</v>
      </c>
      <c r="L82" s="52">
        <f t="shared" si="17"/>
        <v>343000</v>
      </c>
      <c r="M82" s="108">
        <f>Precios!J78</f>
        <v>357824</v>
      </c>
      <c r="N82" s="100">
        <f t="shared" si="18"/>
        <v>-14824</v>
      </c>
      <c r="O82" s="102">
        <f t="shared" si="19"/>
        <v>-4.142818815954212E-2</v>
      </c>
      <c r="P82" s="77">
        <f>IFERROR(L82/(Precios!D78+Precios!E78),"")</f>
        <v>1694.7645117299444</v>
      </c>
    </row>
    <row r="83" spans="1:16" x14ac:dyDescent="0.25">
      <c r="A83" s="92" t="str">
        <f>Lotes!A80</f>
        <v>C-024</v>
      </c>
      <c r="B83" s="93" t="str">
        <f>Lotes!B80</f>
        <v>T3</v>
      </c>
      <c r="C83" s="93" t="str">
        <f>Lotes!C80</f>
        <v>Fase 4</v>
      </c>
      <c r="D83" s="76">
        <f>Lotes!D80</f>
        <v>981.47</v>
      </c>
      <c r="E83" s="106">
        <f t="shared" si="11"/>
        <v>800</v>
      </c>
      <c r="F83" s="71">
        <f t="shared" si="12"/>
        <v>181.47000000000003</v>
      </c>
      <c r="G83" s="71">
        <f t="shared" si="13"/>
        <v>0</v>
      </c>
      <c r="H83" s="100">
        <f t="shared" si="14"/>
        <v>351000</v>
      </c>
      <c r="I83" s="107">
        <f>Lotes!J80</f>
        <v>7.0000000000000007E-2</v>
      </c>
      <c r="J83" s="100">
        <f t="shared" si="15"/>
        <v>375570</v>
      </c>
      <c r="K83" s="100">
        <f t="shared" si="16"/>
        <v>2177.6400000000003</v>
      </c>
      <c r="L83" s="52">
        <f t="shared" si="17"/>
        <v>378000</v>
      </c>
      <c r="M83" s="108">
        <f>Precios!J79</f>
        <v>356381.3</v>
      </c>
      <c r="N83" s="100">
        <f t="shared" si="18"/>
        <v>21618.700000000012</v>
      </c>
      <c r="O83" s="102">
        <f t="shared" si="19"/>
        <v>6.0661712609500026E-2</v>
      </c>
      <c r="P83" s="77">
        <f>IFERROR(L83/(Precios!D79+Precios!E79),"")</f>
        <v>1867.699665988102</v>
      </c>
    </row>
    <row r="84" spans="1:16" x14ac:dyDescent="0.25">
      <c r="A84" s="92" t="str">
        <f>Lotes!A81</f>
        <v>D-001</v>
      </c>
      <c r="B84" s="93" t="str">
        <f>Lotes!B81</f>
        <v>T4</v>
      </c>
      <c r="C84" s="93" t="str">
        <f>Lotes!C81</f>
        <v>Fase 3</v>
      </c>
      <c r="D84" s="76">
        <f>Lotes!D81</f>
        <v>690.73</v>
      </c>
      <c r="E84" s="106">
        <f t="shared" si="11"/>
        <v>600</v>
      </c>
      <c r="F84" s="71">
        <f t="shared" si="12"/>
        <v>90.730000000000018</v>
      </c>
      <c r="G84" s="71">
        <f t="shared" si="13"/>
        <v>0</v>
      </c>
      <c r="H84" s="100">
        <f t="shared" si="14"/>
        <v>257000</v>
      </c>
      <c r="I84" s="107">
        <f>Lotes!J81</f>
        <v>0.02</v>
      </c>
      <c r="J84" s="100">
        <f t="shared" si="15"/>
        <v>262140</v>
      </c>
      <c r="K84" s="100">
        <f t="shared" si="16"/>
        <v>1088.7600000000002</v>
      </c>
      <c r="L84" s="52">
        <f t="shared" si="17"/>
        <v>263000</v>
      </c>
      <c r="M84" s="108">
        <f>Precios!J80</f>
        <v>259376</v>
      </c>
      <c r="N84" s="100">
        <f t="shared" si="18"/>
        <v>3624</v>
      </c>
      <c r="O84" s="102">
        <f t="shared" si="19"/>
        <v>1.3971994324841157E-2</v>
      </c>
      <c r="P84" s="77">
        <f>IFERROR(L84/(Precios!D80+Precios!E80),"")</f>
        <v>1473.8930390777798</v>
      </c>
    </row>
    <row r="85" spans="1:16" x14ac:dyDescent="0.25">
      <c r="A85" s="92" t="str">
        <f>Lotes!A82</f>
        <v>D-002</v>
      </c>
      <c r="B85" s="93" t="str">
        <f>Lotes!B82</f>
        <v>T4</v>
      </c>
      <c r="C85" s="93" t="str">
        <f>Lotes!C82</f>
        <v>Fase 3</v>
      </c>
      <c r="D85" s="76">
        <f>Lotes!D82</f>
        <v>653.71</v>
      </c>
      <c r="E85" s="106">
        <f t="shared" si="11"/>
        <v>600</v>
      </c>
      <c r="F85" s="71">
        <f t="shared" si="12"/>
        <v>53.710000000000036</v>
      </c>
      <c r="G85" s="71">
        <f t="shared" si="13"/>
        <v>0</v>
      </c>
      <c r="H85" s="100">
        <f t="shared" si="14"/>
        <v>257000</v>
      </c>
      <c r="I85" s="107">
        <f>Lotes!J82</f>
        <v>-6.0000000000000005E-2</v>
      </c>
      <c r="J85" s="100">
        <f t="shared" si="15"/>
        <v>241580</v>
      </c>
      <c r="K85" s="100">
        <f t="shared" si="16"/>
        <v>644.52000000000044</v>
      </c>
      <c r="L85" s="52">
        <f t="shared" si="17"/>
        <v>242000</v>
      </c>
      <c r="M85" s="108">
        <f>Precios!J81</f>
        <v>258265.40000000002</v>
      </c>
      <c r="N85" s="100">
        <f t="shared" si="18"/>
        <v>-16265.400000000023</v>
      </c>
      <c r="O85" s="102">
        <f t="shared" si="19"/>
        <v>-6.2979400260352425E-2</v>
      </c>
      <c r="P85" s="77">
        <f>IFERROR(L85/(Precios!D81+Precios!E81),"")</f>
        <v>1356.2057621932424</v>
      </c>
    </row>
    <row r="86" spans="1:16" x14ac:dyDescent="0.25">
      <c r="A86" s="92" t="str">
        <f>Lotes!A83</f>
        <v>D-003</v>
      </c>
      <c r="B86" s="93" t="str">
        <f>Lotes!B83</f>
        <v>T4</v>
      </c>
      <c r="C86" s="93" t="str">
        <f>Lotes!C83</f>
        <v>Fase 3</v>
      </c>
      <c r="D86" s="76">
        <f>Lotes!D83</f>
        <v>710.08</v>
      </c>
      <c r="E86" s="106">
        <f t="shared" si="11"/>
        <v>600</v>
      </c>
      <c r="F86" s="71">
        <f t="shared" si="12"/>
        <v>110.08000000000004</v>
      </c>
      <c r="G86" s="71">
        <f t="shared" si="13"/>
        <v>0</v>
      </c>
      <c r="H86" s="100">
        <f t="shared" si="14"/>
        <v>257000</v>
      </c>
      <c r="I86" s="107">
        <f>Lotes!J83</f>
        <v>0</v>
      </c>
      <c r="J86" s="100">
        <f t="shared" si="15"/>
        <v>257000</v>
      </c>
      <c r="K86" s="100">
        <f t="shared" si="16"/>
        <v>1320.9600000000005</v>
      </c>
      <c r="L86" s="52">
        <f t="shared" si="17"/>
        <v>258000</v>
      </c>
      <c r="M86" s="108">
        <f>Precios!J82</f>
        <v>259956.5</v>
      </c>
      <c r="N86" s="100">
        <f t="shared" si="18"/>
        <v>-1956.5</v>
      </c>
      <c r="O86" s="102">
        <f t="shared" si="19"/>
        <v>-7.5262592010586389E-3</v>
      </c>
      <c r="P86" s="77">
        <f>IFERROR(L86/(Precios!D82+Precios!E82),"")</f>
        <v>1445.8722588671758</v>
      </c>
    </row>
    <row r="87" spans="1:16" x14ac:dyDescent="0.25">
      <c r="A87" s="92" t="str">
        <f>Lotes!A84</f>
        <v>D-004</v>
      </c>
      <c r="B87" s="93" t="str">
        <f>Lotes!B84</f>
        <v>T4</v>
      </c>
      <c r="C87" s="93" t="str">
        <f>Lotes!C84</f>
        <v>Fase 3</v>
      </c>
      <c r="D87" s="76">
        <f>Lotes!D84</f>
        <v>882.73</v>
      </c>
      <c r="E87" s="106">
        <f t="shared" si="11"/>
        <v>600</v>
      </c>
      <c r="F87" s="71">
        <f t="shared" si="12"/>
        <v>282.73</v>
      </c>
      <c r="G87" s="71">
        <f t="shared" si="13"/>
        <v>0</v>
      </c>
      <c r="H87" s="100">
        <f t="shared" si="14"/>
        <v>257000</v>
      </c>
      <c r="I87" s="107">
        <f>Lotes!J84</f>
        <v>7.0000000000000007E-2</v>
      </c>
      <c r="J87" s="100">
        <f t="shared" si="15"/>
        <v>274990</v>
      </c>
      <c r="K87" s="100">
        <f t="shared" si="16"/>
        <v>3392.76</v>
      </c>
      <c r="L87" s="52">
        <f t="shared" si="17"/>
        <v>278000</v>
      </c>
      <c r="M87" s="108">
        <f>Precios!J83</f>
        <v>265136</v>
      </c>
      <c r="N87" s="100">
        <f t="shared" si="18"/>
        <v>12864</v>
      </c>
      <c r="O87" s="102">
        <f t="shared" si="19"/>
        <v>4.8518496168004348E-2</v>
      </c>
      <c r="P87" s="77">
        <f>IFERROR(L87/(Precios!D83+Precios!E83),"")</f>
        <v>1557.9553797095925</v>
      </c>
    </row>
    <row r="88" spans="1:16" x14ac:dyDescent="0.25">
      <c r="A88" s="92" t="str">
        <f>Lotes!A85</f>
        <v>D-005</v>
      </c>
      <c r="B88" s="93" t="str">
        <f>Lotes!B85</f>
        <v>T4</v>
      </c>
      <c r="C88" s="93" t="str">
        <f>Lotes!C85</f>
        <v>Fase 3</v>
      </c>
      <c r="D88" s="76">
        <f>Lotes!D85</f>
        <v>735.36</v>
      </c>
      <c r="E88" s="106">
        <f t="shared" si="11"/>
        <v>600</v>
      </c>
      <c r="F88" s="71">
        <f t="shared" si="12"/>
        <v>135.36000000000001</v>
      </c>
      <c r="G88" s="71">
        <f t="shared" si="13"/>
        <v>0</v>
      </c>
      <c r="H88" s="100">
        <f t="shared" si="14"/>
        <v>257000</v>
      </c>
      <c r="I88" s="107">
        <f>Lotes!J85</f>
        <v>-0.02</v>
      </c>
      <c r="J88" s="100">
        <f t="shared" si="15"/>
        <v>251860</v>
      </c>
      <c r="K88" s="100">
        <f t="shared" si="16"/>
        <v>1624.3200000000002</v>
      </c>
      <c r="L88" s="52">
        <f t="shared" si="17"/>
        <v>253000</v>
      </c>
      <c r="M88" s="108">
        <f>Precios!J84</f>
        <v>260714.9</v>
      </c>
      <c r="N88" s="100">
        <f t="shared" si="18"/>
        <v>-7714.8999999999942</v>
      </c>
      <c r="O88" s="102">
        <f t="shared" si="19"/>
        <v>-2.9591327538241945E-2</v>
      </c>
      <c r="P88" s="77">
        <f>IFERROR(L88/(Precios!D84+Precios!E84),"")</f>
        <v>1417.8514786565715</v>
      </c>
    </row>
    <row r="89" spans="1:16" x14ac:dyDescent="0.25">
      <c r="A89" s="92" t="str">
        <f>Lotes!A86</f>
        <v>D-006</v>
      </c>
      <c r="B89" s="93" t="str">
        <f>Lotes!B86</f>
        <v>T4</v>
      </c>
      <c r="C89" s="93" t="str">
        <f>Lotes!C86</f>
        <v>Fase 3</v>
      </c>
      <c r="D89" s="76">
        <f>Lotes!D86</f>
        <v>777.66</v>
      </c>
      <c r="E89" s="106">
        <f t="shared" si="11"/>
        <v>600</v>
      </c>
      <c r="F89" s="71">
        <f t="shared" si="12"/>
        <v>177.65999999999997</v>
      </c>
      <c r="G89" s="71">
        <f t="shared" si="13"/>
        <v>0</v>
      </c>
      <c r="H89" s="100">
        <f t="shared" si="14"/>
        <v>257000</v>
      </c>
      <c r="I89" s="107">
        <f>Lotes!J86</f>
        <v>0.01</v>
      </c>
      <c r="J89" s="100">
        <f t="shared" si="15"/>
        <v>259570</v>
      </c>
      <c r="K89" s="100">
        <f t="shared" si="16"/>
        <v>2131.9199999999996</v>
      </c>
      <c r="L89" s="52">
        <f t="shared" si="17"/>
        <v>262000</v>
      </c>
      <c r="M89" s="108">
        <f>Precios!J85</f>
        <v>261983.9</v>
      </c>
      <c r="N89" s="100">
        <f t="shared" si="18"/>
        <v>16.100000000005821</v>
      </c>
      <c r="O89" s="102">
        <f t="shared" si="19"/>
        <v>6.1454158060880151E-5</v>
      </c>
      <c r="P89" s="77">
        <f>IFERROR(L89/(Precios!D85+Precios!E85),"")</f>
        <v>1468.2888830356592</v>
      </c>
    </row>
    <row r="90" spans="1:16" x14ac:dyDescent="0.25">
      <c r="A90" s="92" t="str">
        <f>Lotes!A87</f>
        <v>D-007</v>
      </c>
      <c r="B90" s="93" t="str">
        <f>Lotes!B87</f>
        <v>T4</v>
      </c>
      <c r="C90" s="93" t="str">
        <f>Lotes!C87</f>
        <v>Fase 3</v>
      </c>
      <c r="D90" s="76">
        <f>Lotes!D87</f>
        <v>800.65</v>
      </c>
      <c r="E90" s="106">
        <f t="shared" si="11"/>
        <v>600</v>
      </c>
      <c r="F90" s="71">
        <f t="shared" si="12"/>
        <v>200.64999999999998</v>
      </c>
      <c r="G90" s="71">
        <f t="shared" si="13"/>
        <v>0</v>
      </c>
      <c r="H90" s="100">
        <f t="shared" si="14"/>
        <v>257000</v>
      </c>
      <c r="I90" s="107">
        <f>Lotes!J87</f>
        <v>0.1</v>
      </c>
      <c r="J90" s="100">
        <f t="shared" si="15"/>
        <v>282700</v>
      </c>
      <c r="K90" s="100">
        <f t="shared" si="16"/>
        <v>2407.7999999999997</v>
      </c>
      <c r="L90" s="52">
        <f t="shared" si="17"/>
        <v>285000</v>
      </c>
      <c r="M90" s="108">
        <f>Precios!J86</f>
        <v>262673.60000000003</v>
      </c>
      <c r="N90" s="100">
        <f t="shared" si="18"/>
        <v>22326.399999999965</v>
      </c>
      <c r="O90" s="102">
        <f t="shared" si="19"/>
        <v>8.4996741202770135E-2</v>
      </c>
      <c r="P90" s="77">
        <f>IFERROR(L90/(Precios!D86+Precios!E86),"")</f>
        <v>1597.1844720044382</v>
      </c>
    </row>
    <row r="91" spans="1:16" x14ac:dyDescent="0.25">
      <c r="A91" s="92" t="str">
        <f>Lotes!A88</f>
        <v>D-008</v>
      </c>
      <c r="B91" s="93" t="str">
        <f>Lotes!B88</f>
        <v>T4</v>
      </c>
      <c r="C91" s="93" t="str">
        <f>Lotes!C88</f>
        <v>Fase 3</v>
      </c>
      <c r="D91" s="76">
        <f>Lotes!D88</f>
        <v>815.15</v>
      </c>
      <c r="E91" s="106">
        <f t="shared" si="11"/>
        <v>600</v>
      </c>
      <c r="F91" s="71">
        <f t="shared" si="12"/>
        <v>215.14999999999998</v>
      </c>
      <c r="G91" s="71">
        <f t="shared" si="13"/>
        <v>0</v>
      </c>
      <c r="H91" s="100">
        <f t="shared" si="14"/>
        <v>257000</v>
      </c>
      <c r="I91" s="107">
        <f>Lotes!J88</f>
        <v>0.03</v>
      </c>
      <c r="J91" s="100">
        <f t="shared" si="15"/>
        <v>264710</v>
      </c>
      <c r="K91" s="100">
        <f t="shared" si="16"/>
        <v>2581.7999999999997</v>
      </c>
      <c r="L91" s="52">
        <f t="shared" si="17"/>
        <v>267000</v>
      </c>
      <c r="M91" s="108">
        <f>Precios!J87</f>
        <v>263108.60000000003</v>
      </c>
      <c r="N91" s="100">
        <f t="shared" si="18"/>
        <v>3891.3999999999651</v>
      </c>
      <c r="O91" s="102">
        <f t="shared" si="19"/>
        <v>1.4790090479748531E-2</v>
      </c>
      <c r="P91" s="77">
        <f>IFERROR(L91/(Precios!D87+Precios!E87),"")</f>
        <v>1496.3096632462632</v>
      </c>
    </row>
    <row r="92" spans="1:16" x14ac:dyDescent="0.25">
      <c r="A92" s="92" t="str">
        <f>Lotes!A89</f>
        <v>D-009</v>
      </c>
      <c r="B92" s="93" t="str">
        <f>Lotes!B89</f>
        <v>T4</v>
      </c>
      <c r="C92" s="93" t="str">
        <f>Lotes!C89</f>
        <v>Fase 3</v>
      </c>
      <c r="D92" s="76">
        <f>Lotes!D89</f>
        <v>843.39</v>
      </c>
      <c r="E92" s="106">
        <f t="shared" si="11"/>
        <v>600</v>
      </c>
      <c r="F92" s="71">
        <f t="shared" si="12"/>
        <v>243.39</v>
      </c>
      <c r="G92" s="71">
        <f t="shared" si="13"/>
        <v>0</v>
      </c>
      <c r="H92" s="100">
        <f t="shared" si="14"/>
        <v>257000</v>
      </c>
      <c r="I92" s="107">
        <f>Lotes!J89</f>
        <v>0.03</v>
      </c>
      <c r="J92" s="100">
        <f t="shared" si="15"/>
        <v>264710</v>
      </c>
      <c r="K92" s="100">
        <f t="shared" si="16"/>
        <v>2920.68</v>
      </c>
      <c r="L92" s="52">
        <f t="shared" si="17"/>
        <v>268000</v>
      </c>
      <c r="M92" s="108">
        <f>Precios!J88</f>
        <v>263955.80000000005</v>
      </c>
      <c r="N92" s="100">
        <f t="shared" si="18"/>
        <v>4044.1999999999534</v>
      </c>
      <c r="O92" s="102">
        <f t="shared" si="19"/>
        <v>1.5321504585237197E-2</v>
      </c>
      <c r="P92" s="77">
        <f>IFERROR(L92/(Precios!D88+Precios!E88),"")</f>
        <v>1501.913819288384</v>
      </c>
    </row>
    <row r="93" spans="1:16" x14ac:dyDescent="0.25">
      <c r="A93" s="92" t="str">
        <f>Lotes!A90</f>
        <v>D-010</v>
      </c>
      <c r="B93" s="93" t="str">
        <f>Lotes!B90</f>
        <v>T4</v>
      </c>
      <c r="C93" s="93" t="str">
        <f>Lotes!C90</f>
        <v>Fase 3</v>
      </c>
      <c r="D93" s="76">
        <f>Lotes!D90</f>
        <v>700.62</v>
      </c>
      <c r="E93" s="106">
        <f t="shared" si="11"/>
        <v>600</v>
      </c>
      <c r="F93" s="71">
        <f t="shared" si="12"/>
        <v>100.62</v>
      </c>
      <c r="G93" s="71">
        <f t="shared" si="13"/>
        <v>0</v>
      </c>
      <c r="H93" s="100">
        <f t="shared" si="14"/>
        <v>257000</v>
      </c>
      <c r="I93" s="107">
        <f>Lotes!J90</f>
        <v>0</v>
      </c>
      <c r="J93" s="100">
        <f t="shared" si="15"/>
        <v>257000</v>
      </c>
      <c r="K93" s="100">
        <f t="shared" si="16"/>
        <v>1207.44</v>
      </c>
      <c r="L93" s="52">
        <f t="shared" si="17"/>
        <v>258000</v>
      </c>
      <c r="M93" s="108">
        <f>Precios!J89</f>
        <v>259672.7</v>
      </c>
      <c r="N93" s="100">
        <f t="shared" si="18"/>
        <v>-1672.7000000000116</v>
      </c>
      <c r="O93" s="102">
        <f t="shared" si="19"/>
        <v>-6.4415704846909651E-3</v>
      </c>
      <c r="P93" s="77">
        <f>IFERROR(L93/(Precios!D89+Precios!E89),"")</f>
        <v>1445.8722588671758</v>
      </c>
    </row>
    <row r="94" spans="1:16" x14ac:dyDescent="0.25">
      <c r="A94" s="92" t="str">
        <f>Lotes!A91</f>
        <v>D-011</v>
      </c>
      <c r="B94" s="93" t="str">
        <f>Lotes!B91</f>
        <v>T4</v>
      </c>
      <c r="C94" s="93" t="str">
        <f>Lotes!C91</f>
        <v>Fase 3</v>
      </c>
      <c r="D94" s="76">
        <f>Lotes!D91</f>
        <v>889.87</v>
      </c>
      <c r="E94" s="106">
        <f t="shared" si="11"/>
        <v>600</v>
      </c>
      <c r="F94" s="71">
        <f t="shared" si="12"/>
        <v>289.87</v>
      </c>
      <c r="G94" s="71">
        <f t="shared" si="13"/>
        <v>0</v>
      </c>
      <c r="H94" s="100">
        <f t="shared" si="14"/>
        <v>257000</v>
      </c>
      <c r="I94" s="107">
        <f>Lotes!J91</f>
        <v>0</v>
      </c>
      <c r="J94" s="100">
        <f t="shared" si="15"/>
        <v>257000</v>
      </c>
      <c r="K94" s="100">
        <f t="shared" si="16"/>
        <v>3478.44</v>
      </c>
      <c r="L94" s="52">
        <f t="shared" si="17"/>
        <v>260000</v>
      </c>
      <c r="M94" s="108">
        <f>Precios!J90</f>
        <v>265350.2</v>
      </c>
      <c r="N94" s="100">
        <f t="shared" si="18"/>
        <v>-5350.2000000000116</v>
      </c>
      <c r="O94" s="102">
        <f t="shared" si="19"/>
        <v>-2.0162788646852392E-2</v>
      </c>
      <c r="P94" s="77">
        <f>IFERROR(L94/(Precios!D90+Precios!E90),"")</f>
        <v>1457.0805709514175</v>
      </c>
    </row>
    <row r="95" spans="1:16" x14ac:dyDescent="0.25">
      <c r="A95" s="92" t="str">
        <f>Lotes!A92</f>
        <v>D-012</v>
      </c>
      <c r="B95" s="93" t="str">
        <f>Lotes!B92</f>
        <v>T4</v>
      </c>
      <c r="C95" s="93" t="str">
        <f>Lotes!C92</f>
        <v>Fase 3</v>
      </c>
      <c r="D95" s="76">
        <f>Lotes!D92</f>
        <v>1054.18</v>
      </c>
      <c r="E95" s="106">
        <f t="shared" si="11"/>
        <v>600</v>
      </c>
      <c r="F95" s="71">
        <f t="shared" si="12"/>
        <v>454.18000000000006</v>
      </c>
      <c r="G95" s="71">
        <f t="shared" si="13"/>
        <v>0</v>
      </c>
      <c r="H95" s="100">
        <f t="shared" si="14"/>
        <v>257000</v>
      </c>
      <c r="I95" s="107">
        <f>Lotes!J92</f>
        <v>-0.01</v>
      </c>
      <c r="J95" s="100">
        <f t="shared" si="15"/>
        <v>254430</v>
      </c>
      <c r="K95" s="100">
        <f t="shared" si="16"/>
        <v>5450.1600000000008</v>
      </c>
      <c r="L95" s="52">
        <f t="shared" si="17"/>
        <v>260000</v>
      </c>
      <c r="M95" s="108">
        <f>Precios!J91</f>
        <v>270279.5</v>
      </c>
      <c r="N95" s="100">
        <f t="shared" si="18"/>
        <v>-10279.5</v>
      </c>
      <c r="O95" s="102">
        <f t="shared" si="19"/>
        <v>-3.8032851178132265E-2</v>
      </c>
      <c r="P95" s="77">
        <f>IFERROR(L95/(Precios!D91+Precios!E91),"")</f>
        <v>1457.0805709514175</v>
      </c>
    </row>
    <row r="96" spans="1:16" x14ac:dyDescent="0.25">
      <c r="A96" s="92" t="str">
        <f>Lotes!A93</f>
        <v>D-013</v>
      </c>
      <c r="B96" s="93" t="str">
        <f>Lotes!B93</f>
        <v>T4</v>
      </c>
      <c r="C96" s="93" t="str">
        <f>Lotes!C93</f>
        <v>Fase 3</v>
      </c>
      <c r="D96" s="76">
        <f>Lotes!D93</f>
        <v>776.08</v>
      </c>
      <c r="E96" s="106">
        <f t="shared" si="11"/>
        <v>600</v>
      </c>
      <c r="F96" s="71">
        <f t="shared" si="12"/>
        <v>176.08000000000004</v>
      </c>
      <c r="G96" s="71">
        <f t="shared" si="13"/>
        <v>0</v>
      </c>
      <c r="H96" s="100">
        <f t="shared" si="14"/>
        <v>257000</v>
      </c>
      <c r="I96" s="107">
        <f>Lotes!J93</f>
        <v>0.05</v>
      </c>
      <c r="J96" s="100">
        <f t="shared" si="15"/>
        <v>269850</v>
      </c>
      <c r="K96" s="100">
        <f t="shared" si="16"/>
        <v>2112.9600000000005</v>
      </c>
      <c r="L96" s="52">
        <f t="shared" si="17"/>
        <v>272000</v>
      </c>
      <c r="M96" s="108">
        <f>Precios!J92</f>
        <v>261936.5</v>
      </c>
      <c r="N96" s="100">
        <f t="shared" si="18"/>
        <v>10063.5</v>
      </c>
      <c r="O96" s="102">
        <f t="shared" si="19"/>
        <v>3.841961696823467E-2</v>
      </c>
      <c r="P96" s="77">
        <f>IFERROR(L96/(Precios!D92+Precios!E92),"")</f>
        <v>1524.3304434568674</v>
      </c>
    </row>
    <row r="97" spans="1:16" x14ac:dyDescent="0.25">
      <c r="A97" s="92" t="str">
        <f>Lotes!A94</f>
        <v>D-014</v>
      </c>
      <c r="B97" s="93" t="str">
        <f>Lotes!B94</f>
        <v>T4</v>
      </c>
      <c r="C97" s="93" t="str">
        <f>Lotes!C94</f>
        <v>Fase 3</v>
      </c>
      <c r="D97" s="76">
        <f>Lotes!D94</f>
        <v>790.16</v>
      </c>
      <c r="E97" s="106">
        <f t="shared" si="11"/>
        <v>600</v>
      </c>
      <c r="F97" s="71">
        <f t="shared" si="12"/>
        <v>190.15999999999997</v>
      </c>
      <c r="G97" s="71">
        <f t="shared" si="13"/>
        <v>0</v>
      </c>
      <c r="H97" s="100">
        <f t="shared" si="14"/>
        <v>257000</v>
      </c>
      <c r="I97" s="107">
        <f>Lotes!J94</f>
        <v>7.0000000000000007E-2</v>
      </c>
      <c r="J97" s="100">
        <f t="shared" si="15"/>
        <v>274990</v>
      </c>
      <c r="K97" s="100">
        <f t="shared" si="16"/>
        <v>2281.9199999999996</v>
      </c>
      <c r="L97" s="52">
        <f t="shared" si="17"/>
        <v>277000</v>
      </c>
      <c r="M97" s="108">
        <f>Precios!J93</f>
        <v>262358.90000000002</v>
      </c>
      <c r="N97" s="100">
        <f t="shared" si="18"/>
        <v>14641.099999999977</v>
      </c>
      <c r="O97" s="102">
        <f t="shared" si="19"/>
        <v>5.5805615894867586E-2</v>
      </c>
      <c r="P97" s="77">
        <f>IFERROR(L97/(Precios!D93+Precios!E93),"")</f>
        <v>1552.3512236674717</v>
      </c>
    </row>
    <row r="98" spans="1:16" x14ac:dyDescent="0.25">
      <c r="A98" s="92" t="str">
        <f>Lotes!A95</f>
        <v>D-015</v>
      </c>
      <c r="B98" s="93" t="str">
        <f>Lotes!B95</f>
        <v>T4</v>
      </c>
      <c r="C98" s="93" t="str">
        <f>Lotes!C95</f>
        <v>Fase 3</v>
      </c>
      <c r="D98" s="76">
        <f>Lotes!D95</f>
        <v>834.48</v>
      </c>
      <c r="E98" s="106">
        <f t="shared" si="11"/>
        <v>600</v>
      </c>
      <c r="F98" s="71">
        <f t="shared" si="12"/>
        <v>234.48000000000002</v>
      </c>
      <c r="G98" s="71">
        <f t="shared" si="13"/>
        <v>0</v>
      </c>
      <c r="H98" s="100">
        <f t="shared" si="14"/>
        <v>257000</v>
      </c>
      <c r="I98" s="107">
        <f>Lotes!J95</f>
        <v>0</v>
      </c>
      <c r="J98" s="100">
        <f t="shared" si="15"/>
        <v>257000</v>
      </c>
      <c r="K98" s="100">
        <f t="shared" si="16"/>
        <v>2813.76</v>
      </c>
      <c r="L98" s="52">
        <f t="shared" si="17"/>
        <v>260000</v>
      </c>
      <c r="M98" s="108">
        <f>Precios!J94</f>
        <v>263688.5</v>
      </c>
      <c r="N98" s="100">
        <f t="shared" si="18"/>
        <v>-3688.5</v>
      </c>
      <c r="O98" s="102">
        <f t="shared" si="19"/>
        <v>-1.3988095802433553E-2</v>
      </c>
      <c r="P98" s="77">
        <f>IFERROR(L98/(Precios!D94+Precios!E94),"")</f>
        <v>1457.0805709514175</v>
      </c>
    </row>
    <row r="99" spans="1:16" x14ac:dyDescent="0.25">
      <c r="A99" s="92" t="str">
        <f>Lotes!A96</f>
        <v>D-016</v>
      </c>
      <c r="B99" s="93" t="str">
        <f>Lotes!B96</f>
        <v>T4</v>
      </c>
      <c r="C99" s="93" t="str">
        <f>Lotes!C96</f>
        <v>Fase 3</v>
      </c>
      <c r="D99" s="76">
        <f>Lotes!D96</f>
        <v>907.19</v>
      </c>
      <c r="E99" s="106">
        <f t="shared" si="11"/>
        <v>600</v>
      </c>
      <c r="F99" s="71">
        <f t="shared" si="12"/>
        <v>307.19000000000005</v>
      </c>
      <c r="G99" s="71">
        <f t="shared" si="13"/>
        <v>0</v>
      </c>
      <c r="H99" s="100">
        <f t="shared" si="14"/>
        <v>257000</v>
      </c>
      <c r="I99" s="107">
        <f>Lotes!J96</f>
        <v>9.9999999999999985E-3</v>
      </c>
      <c r="J99" s="100">
        <f t="shared" si="15"/>
        <v>259570</v>
      </c>
      <c r="K99" s="100">
        <f t="shared" si="16"/>
        <v>3686.2800000000007</v>
      </c>
      <c r="L99" s="52">
        <f t="shared" si="17"/>
        <v>263000</v>
      </c>
      <c r="M99" s="108">
        <f>Precios!J95</f>
        <v>265869.80000000005</v>
      </c>
      <c r="N99" s="100">
        <f t="shared" si="18"/>
        <v>-2869.8000000000466</v>
      </c>
      <c r="O99" s="102">
        <f t="shared" si="19"/>
        <v>-1.0794005185997229E-2</v>
      </c>
      <c r="P99" s="77">
        <f>IFERROR(L99/(Precios!D95+Precios!E95),"")</f>
        <v>1473.8930390777798</v>
      </c>
    </row>
    <row r="100" spans="1:16" x14ac:dyDescent="0.25">
      <c r="A100" s="92" t="str">
        <f>Lotes!A97</f>
        <v>D-017</v>
      </c>
      <c r="B100" s="93" t="str">
        <f>Lotes!B97</f>
        <v>T4</v>
      </c>
      <c r="C100" s="93" t="str">
        <f>Lotes!C97</f>
        <v>Fase 3</v>
      </c>
      <c r="D100" s="76">
        <f>Lotes!D97</f>
        <v>637.13</v>
      </c>
      <c r="E100" s="106">
        <f t="shared" si="11"/>
        <v>600</v>
      </c>
      <c r="F100" s="71">
        <f t="shared" si="12"/>
        <v>37.129999999999995</v>
      </c>
      <c r="G100" s="71">
        <f t="shared" si="13"/>
        <v>0</v>
      </c>
      <c r="H100" s="100">
        <f t="shared" si="14"/>
        <v>257000</v>
      </c>
      <c r="I100" s="107">
        <f>Lotes!J97</f>
        <v>3.9999999999999994E-2</v>
      </c>
      <c r="J100" s="100">
        <f t="shared" si="15"/>
        <v>267280</v>
      </c>
      <c r="K100" s="100">
        <f t="shared" si="16"/>
        <v>445.55999999999995</v>
      </c>
      <c r="L100" s="52">
        <f t="shared" si="17"/>
        <v>268000</v>
      </c>
      <c r="M100" s="108">
        <f>Precios!J96</f>
        <v>257768</v>
      </c>
      <c r="N100" s="100">
        <f t="shared" si="18"/>
        <v>10232</v>
      </c>
      <c r="O100" s="102">
        <f t="shared" si="19"/>
        <v>3.9694609105862637E-2</v>
      </c>
      <c r="P100" s="77">
        <f>IFERROR(L100/(Precios!D96+Precios!E96),"")</f>
        <v>1501.913819288384</v>
      </c>
    </row>
    <row r="101" spans="1:16" x14ac:dyDescent="0.25">
      <c r="A101" s="92" t="str">
        <f>Lotes!A98</f>
        <v>D-018</v>
      </c>
      <c r="B101" s="93" t="str">
        <f>Lotes!B98</f>
        <v>T4</v>
      </c>
      <c r="C101" s="93" t="str">
        <f>Lotes!C98</f>
        <v>Fase 3</v>
      </c>
      <c r="D101" s="76">
        <f>Lotes!D98</f>
        <v>531.32000000000005</v>
      </c>
      <c r="E101" s="106">
        <f t="shared" si="11"/>
        <v>600</v>
      </c>
      <c r="F101" s="71">
        <f t="shared" si="12"/>
        <v>0</v>
      </c>
      <c r="G101" s="71">
        <f t="shared" si="13"/>
        <v>68.67999999999995</v>
      </c>
      <c r="H101" s="100">
        <f t="shared" si="14"/>
        <v>257000</v>
      </c>
      <c r="I101" s="107">
        <f>Lotes!J98</f>
        <v>7.0000000000000007E-2</v>
      </c>
      <c r="J101" s="100">
        <f t="shared" si="15"/>
        <v>274990</v>
      </c>
      <c r="K101" s="100">
        <f t="shared" si="16"/>
        <v>0</v>
      </c>
      <c r="L101" s="52">
        <f t="shared" si="17"/>
        <v>275000</v>
      </c>
      <c r="M101" s="108">
        <f>Precios!J97</f>
        <v>254593.7</v>
      </c>
      <c r="N101" s="100">
        <f t="shared" si="18"/>
        <v>20406.299999999988</v>
      </c>
      <c r="O101" s="102">
        <f t="shared" si="19"/>
        <v>8.0152415397552995E-2</v>
      </c>
      <c r="P101" s="77">
        <f>IFERROR(L101/(Precios!D97+Precios!E97),"")</f>
        <v>1541.14291158323</v>
      </c>
    </row>
    <row r="102" spans="1:16" x14ac:dyDescent="0.25">
      <c r="A102" s="92" t="str">
        <f>Lotes!A99</f>
        <v>D-019</v>
      </c>
      <c r="B102" s="93" t="str">
        <f>Lotes!B99</f>
        <v>T4</v>
      </c>
      <c r="C102" s="93" t="str">
        <f>Lotes!C99</f>
        <v>Fase 3</v>
      </c>
      <c r="D102" s="76">
        <f>Lotes!D99</f>
        <v>714.85</v>
      </c>
      <c r="E102" s="106">
        <f t="shared" si="11"/>
        <v>600</v>
      </c>
      <c r="F102" s="71">
        <f t="shared" si="12"/>
        <v>114.85000000000002</v>
      </c>
      <c r="G102" s="71">
        <f t="shared" si="13"/>
        <v>0</v>
      </c>
      <c r="H102" s="100">
        <f t="shared" si="14"/>
        <v>257000</v>
      </c>
      <c r="I102" s="107">
        <f>Lotes!J99</f>
        <v>1.9999999999999997E-2</v>
      </c>
      <c r="J102" s="100">
        <f t="shared" si="15"/>
        <v>262140</v>
      </c>
      <c r="K102" s="100">
        <f t="shared" si="16"/>
        <v>1378.2000000000003</v>
      </c>
      <c r="L102" s="52">
        <f t="shared" si="17"/>
        <v>264000</v>
      </c>
      <c r="M102" s="108">
        <f>Precios!J98</f>
        <v>260099.6</v>
      </c>
      <c r="N102" s="100">
        <f t="shared" si="18"/>
        <v>3900.3999999999942</v>
      </c>
      <c r="O102" s="102">
        <f t="shared" si="19"/>
        <v>1.4995793918944874E-2</v>
      </c>
      <c r="P102" s="77">
        <f>IFERROR(L102/(Precios!D98+Precios!E98),"")</f>
        <v>1479.4971951199007</v>
      </c>
    </row>
    <row r="103" spans="1:16" x14ac:dyDescent="0.25">
      <c r="A103" s="92" t="str">
        <f>Lotes!A100</f>
        <v>D-020</v>
      </c>
      <c r="B103" s="93" t="str">
        <f>Lotes!B100</f>
        <v>T4</v>
      </c>
      <c r="C103" s="93" t="str">
        <f>Lotes!C100</f>
        <v>Fase 3</v>
      </c>
      <c r="D103" s="76">
        <f>Lotes!D100</f>
        <v>605.95000000000005</v>
      </c>
      <c r="E103" s="106">
        <f t="shared" si="11"/>
        <v>600</v>
      </c>
      <c r="F103" s="71">
        <f t="shared" si="12"/>
        <v>5.9500000000000455</v>
      </c>
      <c r="G103" s="71">
        <f t="shared" si="13"/>
        <v>0</v>
      </c>
      <c r="H103" s="100">
        <f t="shared" si="14"/>
        <v>257000</v>
      </c>
      <c r="I103" s="107">
        <f>Lotes!J100</f>
        <v>-0.01</v>
      </c>
      <c r="J103" s="100">
        <f t="shared" si="15"/>
        <v>254430</v>
      </c>
      <c r="K103" s="100">
        <f t="shared" si="16"/>
        <v>71.400000000000546</v>
      </c>
      <c r="L103" s="52">
        <f t="shared" si="17"/>
        <v>255000</v>
      </c>
      <c r="M103" s="108">
        <f>Precios!J99</f>
        <v>256832.6</v>
      </c>
      <c r="N103" s="100">
        <f t="shared" si="18"/>
        <v>-1832.6000000000058</v>
      </c>
      <c r="O103" s="102">
        <f t="shared" si="19"/>
        <v>-7.1353870186261622E-3</v>
      </c>
      <c r="P103" s="77">
        <f>IFERROR(L103/(Precios!D99+Precios!E99),"")</f>
        <v>1429.0597907408132</v>
      </c>
    </row>
    <row r="104" spans="1:16" x14ac:dyDescent="0.25">
      <c r="A104" s="92" t="str">
        <f>Lotes!A101</f>
        <v>D-021</v>
      </c>
      <c r="B104" s="93" t="str">
        <f>Lotes!B101</f>
        <v>T4</v>
      </c>
      <c r="C104" s="93" t="str">
        <f>Lotes!C101</f>
        <v>Fase 3</v>
      </c>
      <c r="D104" s="76">
        <f>Lotes!D101</f>
        <v>796.28</v>
      </c>
      <c r="E104" s="106">
        <f t="shared" si="11"/>
        <v>600</v>
      </c>
      <c r="F104" s="71">
        <f t="shared" si="12"/>
        <v>196.27999999999997</v>
      </c>
      <c r="G104" s="71">
        <f t="shared" si="13"/>
        <v>0</v>
      </c>
      <c r="H104" s="100">
        <f t="shared" si="14"/>
        <v>257000</v>
      </c>
      <c r="I104" s="107">
        <f>Lotes!J101</f>
        <v>1.9999999999999997E-2</v>
      </c>
      <c r="J104" s="100">
        <f t="shared" si="15"/>
        <v>262140</v>
      </c>
      <c r="K104" s="100">
        <f t="shared" si="16"/>
        <v>2355.3599999999997</v>
      </c>
      <c r="L104" s="52">
        <f t="shared" si="17"/>
        <v>264000</v>
      </c>
      <c r="M104" s="108">
        <f>Precios!J100</f>
        <v>262542.5</v>
      </c>
      <c r="N104" s="100">
        <f t="shared" si="18"/>
        <v>1457.5</v>
      </c>
      <c r="O104" s="102">
        <f t="shared" si="19"/>
        <v>5.5514821409866971E-3</v>
      </c>
      <c r="P104" s="77">
        <f>IFERROR(L104/(Precios!D100+Precios!E100),"")</f>
        <v>1479.4971951199007</v>
      </c>
    </row>
    <row r="105" spans="1:16" x14ac:dyDescent="0.25">
      <c r="A105" s="92" t="str">
        <f>Lotes!A102</f>
        <v>D-022</v>
      </c>
      <c r="B105" s="93" t="str">
        <f>Lotes!B102</f>
        <v>T4</v>
      </c>
      <c r="C105" s="93" t="str">
        <f>Lotes!C102</f>
        <v>Fase 3</v>
      </c>
      <c r="D105" s="76">
        <f>Lotes!D102</f>
        <v>701</v>
      </c>
      <c r="E105" s="106">
        <f t="shared" si="11"/>
        <v>600</v>
      </c>
      <c r="F105" s="71">
        <f t="shared" si="12"/>
        <v>101</v>
      </c>
      <c r="G105" s="71">
        <f t="shared" si="13"/>
        <v>0</v>
      </c>
      <c r="H105" s="100">
        <f t="shared" si="14"/>
        <v>257000</v>
      </c>
      <c r="I105" s="107">
        <f>Lotes!J102</f>
        <v>3.9999999999999994E-2</v>
      </c>
      <c r="J105" s="100">
        <f t="shared" si="15"/>
        <v>267280</v>
      </c>
      <c r="K105" s="100">
        <f t="shared" si="16"/>
        <v>1212</v>
      </c>
      <c r="L105" s="52">
        <f t="shared" si="17"/>
        <v>268000</v>
      </c>
      <c r="M105" s="108">
        <f>Precios!J101</f>
        <v>259684.1</v>
      </c>
      <c r="N105" s="100">
        <f t="shared" si="18"/>
        <v>8315.8999999999942</v>
      </c>
      <c r="O105" s="102">
        <f t="shared" si="19"/>
        <v>3.2023138882973562E-2</v>
      </c>
      <c r="P105" s="77">
        <f>IFERROR(L105/(Precios!D101+Precios!E101),"")</f>
        <v>1501.913819288384</v>
      </c>
    </row>
    <row r="106" spans="1:16" x14ac:dyDescent="0.25">
      <c r="A106" s="92" t="str">
        <f>Lotes!A103</f>
        <v>D-023</v>
      </c>
      <c r="B106" s="93" t="str">
        <f>Lotes!B103</f>
        <v>T4</v>
      </c>
      <c r="C106" s="93" t="str">
        <f>Lotes!C103</f>
        <v>Fase 3</v>
      </c>
      <c r="D106" s="76">
        <f>Lotes!D103</f>
        <v>710.35</v>
      </c>
      <c r="E106" s="106">
        <f t="shared" si="11"/>
        <v>600</v>
      </c>
      <c r="F106" s="71">
        <f t="shared" si="12"/>
        <v>110.35000000000002</v>
      </c>
      <c r="G106" s="71">
        <f t="shared" si="13"/>
        <v>0</v>
      </c>
      <c r="H106" s="100">
        <f t="shared" si="14"/>
        <v>257000</v>
      </c>
      <c r="I106" s="107">
        <f>Lotes!J103</f>
        <v>1.9999999999999997E-2</v>
      </c>
      <c r="J106" s="100">
        <f t="shared" si="15"/>
        <v>262140</v>
      </c>
      <c r="K106" s="100">
        <f t="shared" si="16"/>
        <v>1324.2000000000003</v>
      </c>
      <c r="L106" s="52">
        <f t="shared" si="17"/>
        <v>263000</v>
      </c>
      <c r="M106" s="108">
        <f>Precios!J102</f>
        <v>259964.6</v>
      </c>
      <c r="N106" s="100">
        <f t="shared" si="18"/>
        <v>3035.3999999999942</v>
      </c>
      <c r="O106" s="102">
        <f t="shared" si="19"/>
        <v>1.1676205144854315E-2</v>
      </c>
      <c r="P106" s="77">
        <f>IFERROR(L106/(Precios!D102+Precios!E102),"")</f>
        <v>1473.8930390777798</v>
      </c>
    </row>
    <row r="107" spans="1:16" x14ac:dyDescent="0.25">
      <c r="A107" s="92" t="str">
        <f>Lotes!A104</f>
        <v>D-024</v>
      </c>
      <c r="B107" s="93" t="str">
        <f>Lotes!B104</f>
        <v>T4</v>
      </c>
      <c r="C107" s="93" t="str">
        <f>Lotes!C104</f>
        <v>Fase 3</v>
      </c>
      <c r="D107" s="76">
        <f>Lotes!D104</f>
        <v>730.49</v>
      </c>
      <c r="E107" s="106">
        <f t="shared" si="11"/>
        <v>600</v>
      </c>
      <c r="F107" s="71">
        <f t="shared" si="12"/>
        <v>130.49</v>
      </c>
      <c r="G107" s="71">
        <f t="shared" si="13"/>
        <v>0</v>
      </c>
      <c r="H107" s="100">
        <f t="shared" si="14"/>
        <v>257000</v>
      </c>
      <c r="I107" s="107">
        <f>Lotes!J104</f>
        <v>7.0000000000000007E-2</v>
      </c>
      <c r="J107" s="100">
        <f t="shared" si="15"/>
        <v>274990</v>
      </c>
      <c r="K107" s="100">
        <f t="shared" si="16"/>
        <v>1565.88</v>
      </c>
      <c r="L107" s="52">
        <f t="shared" si="17"/>
        <v>277000</v>
      </c>
      <c r="M107" s="108">
        <f>Precios!J103</f>
        <v>260568.80000000002</v>
      </c>
      <c r="N107" s="100">
        <f t="shared" si="18"/>
        <v>16431.199999999983</v>
      </c>
      <c r="O107" s="102">
        <f t="shared" si="19"/>
        <v>6.3058969454516361E-2</v>
      </c>
      <c r="P107" s="77">
        <f>IFERROR(L107/(Precios!D103+Precios!E103),"")</f>
        <v>1552.3512236674717</v>
      </c>
    </row>
    <row r="108" spans="1:16" x14ac:dyDescent="0.25">
      <c r="A108" s="92" t="str">
        <f>Lotes!A105</f>
        <v>D-025</v>
      </c>
      <c r="B108" s="93" t="str">
        <f>Lotes!B105</f>
        <v>T4</v>
      </c>
      <c r="C108" s="93" t="str">
        <f>Lotes!C105</f>
        <v>Fase 3</v>
      </c>
      <c r="D108" s="76">
        <f>Lotes!D105</f>
        <v>826.59</v>
      </c>
      <c r="E108" s="106">
        <f t="shared" si="11"/>
        <v>600</v>
      </c>
      <c r="F108" s="71">
        <f t="shared" si="12"/>
        <v>226.59000000000003</v>
      </c>
      <c r="G108" s="71">
        <f t="shared" si="13"/>
        <v>0</v>
      </c>
      <c r="H108" s="100">
        <f t="shared" si="14"/>
        <v>257000</v>
      </c>
      <c r="I108" s="107">
        <f>Lotes!J105</f>
        <v>9.0000000000000011E-2</v>
      </c>
      <c r="J108" s="100">
        <f t="shared" si="15"/>
        <v>280130</v>
      </c>
      <c r="K108" s="100">
        <f t="shared" si="16"/>
        <v>2719.0800000000004</v>
      </c>
      <c r="L108" s="52">
        <f t="shared" si="17"/>
        <v>283000</v>
      </c>
      <c r="M108" s="108">
        <f>Precios!J104</f>
        <v>263451.80000000005</v>
      </c>
      <c r="N108" s="100">
        <f t="shared" si="18"/>
        <v>19548.199999999953</v>
      </c>
      <c r="O108" s="102">
        <f t="shared" si="19"/>
        <v>7.4200290147950973E-2</v>
      </c>
      <c r="P108" s="77">
        <f>IFERROR(L108/(Precios!D104+Precios!E104),"")</f>
        <v>1585.9761599201966</v>
      </c>
    </row>
    <row r="109" spans="1:16" x14ac:dyDescent="0.25">
      <c r="A109" s="92" t="str">
        <f>Lotes!A106</f>
        <v>D-026</v>
      </c>
      <c r="B109" s="93" t="str">
        <f>Lotes!B106</f>
        <v>T4</v>
      </c>
      <c r="C109" s="93" t="str">
        <f>Lotes!C106</f>
        <v>Fase 3</v>
      </c>
      <c r="D109" s="76">
        <f>Lotes!D106</f>
        <v>535.20000000000005</v>
      </c>
      <c r="E109" s="106">
        <f t="shared" si="11"/>
        <v>600</v>
      </c>
      <c r="F109" s="71">
        <f t="shared" si="12"/>
        <v>0</v>
      </c>
      <c r="G109" s="71">
        <f t="shared" si="13"/>
        <v>64.799999999999955</v>
      </c>
      <c r="H109" s="100">
        <f t="shared" si="14"/>
        <v>257000</v>
      </c>
      <c r="I109" s="107">
        <f>Lotes!J106</f>
        <v>-0.01</v>
      </c>
      <c r="J109" s="100">
        <f t="shared" si="15"/>
        <v>254430</v>
      </c>
      <c r="K109" s="100">
        <f t="shared" si="16"/>
        <v>0</v>
      </c>
      <c r="L109" s="52">
        <f t="shared" si="17"/>
        <v>254000</v>
      </c>
      <c r="M109" s="108">
        <f>Precios!J105</f>
        <v>254710.1</v>
      </c>
      <c r="N109" s="100">
        <f t="shared" si="18"/>
        <v>-710.10000000000582</v>
      </c>
      <c r="O109" s="102">
        <f t="shared" si="19"/>
        <v>-2.7878753139353556E-3</v>
      </c>
      <c r="P109" s="77">
        <f>IFERROR(L109/(Precios!D105+Precios!E105),"")</f>
        <v>1423.4556346986924</v>
      </c>
    </row>
    <row r="110" spans="1:16" x14ac:dyDescent="0.25">
      <c r="A110" s="92" t="str">
        <f>Lotes!A107</f>
        <v>D-027</v>
      </c>
      <c r="B110" s="93" t="str">
        <f>Lotes!B107</f>
        <v>T4</v>
      </c>
      <c r="C110" s="93" t="str">
        <f>Lotes!C107</f>
        <v>Fase 3</v>
      </c>
      <c r="D110" s="76">
        <f>Lotes!D107</f>
        <v>494.22</v>
      </c>
      <c r="E110" s="106">
        <f t="shared" si="11"/>
        <v>600</v>
      </c>
      <c r="F110" s="71">
        <f t="shared" si="12"/>
        <v>0</v>
      </c>
      <c r="G110" s="71">
        <f t="shared" si="13"/>
        <v>105.77999999999997</v>
      </c>
      <c r="H110" s="100">
        <f t="shared" si="14"/>
        <v>257000</v>
      </c>
      <c r="I110" s="107">
        <f>Lotes!J107</f>
        <v>-0.03</v>
      </c>
      <c r="J110" s="100">
        <f t="shared" si="15"/>
        <v>249290</v>
      </c>
      <c r="K110" s="100">
        <f t="shared" si="16"/>
        <v>0</v>
      </c>
      <c r="L110" s="52">
        <f t="shared" si="17"/>
        <v>249000</v>
      </c>
      <c r="M110" s="108">
        <f>Precios!J106</f>
        <v>253480.7</v>
      </c>
      <c r="N110" s="100">
        <f t="shared" si="18"/>
        <v>-4480.7000000000116</v>
      </c>
      <c r="O110" s="102">
        <f t="shared" si="19"/>
        <v>-1.7676690967004634E-2</v>
      </c>
      <c r="P110" s="77">
        <f>IFERROR(L110/(Precios!D106+Precios!E106),"")</f>
        <v>1395.4348544880881</v>
      </c>
    </row>
    <row r="111" spans="1:16" x14ac:dyDescent="0.25">
      <c r="A111" s="92" t="str">
        <f>Lotes!A108</f>
        <v>D-028</v>
      </c>
      <c r="B111" s="93" t="str">
        <f>Lotes!B108</f>
        <v>T4</v>
      </c>
      <c r="C111" s="93" t="str">
        <f>Lotes!C108</f>
        <v>Fase 3</v>
      </c>
      <c r="D111" s="76">
        <f>Lotes!D108</f>
        <v>713.8</v>
      </c>
      <c r="E111" s="106">
        <f t="shared" si="11"/>
        <v>600</v>
      </c>
      <c r="F111" s="71">
        <f t="shared" si="12"/>
        <v>113.79999999999995</v>
      </c>
      <c r="G111" s="71">
        <f t="shared" si="13"/>
        <v>0</v>
      </c>
      <c r="H111" s="100">
        <f t="shared" si="14"/>
        <v>257000</v>
      </c>
      <c r="I111" s="107">
        <f>Lotes!J108</f>
        <v>7.0000000000000007E-2</v>
      </c>
      <c r="J111" s="100">
        <f t="shared" si="15"/>
        <v>274990</v>
      </c>
      <c r="K111" s="100">
        <f t="shared" si="16"/>
        <v>1365.5999999999995</v>
      </c>
      <c r="L111" s="52">
        <f t="shared" si="17"/>
        <v>276000</v>
      </c>
      <c r="M111" s="108">
        <f>Precios!J107</f>
        <v>260068.1</v>
      </c>
      <c r="N111" s="100">
        <f t="shared" si="18"/>
        <v>15931.899999999994</v>
      </c>
      <c r="O111" s="102">
        <f t="shared" si="19"/>
        <v>6.1260492924737765E-2</v>
      </c>
      <c r="P111" s="77">
        <f>IFERROR(L111/(Precios!D107+Precios!E107),"")</f>
        <v>1546.7470676253508</v>
      </c>
    </row>
    <row r="112" spans="1:16" x14ac:dyDescent="0.25">
      <c r="A112" s="92" t="str">
        <f>Lotes!A109</f>
        <v>D-029</v>
      </c>
      <c r="B112" s="93" t="str">
        <f>Lotes!B109</f>
        <v>T4</v>
      </c>
      <c r="C112" s="93" t="str">
        <f>Lotes!C109</f>
        <v>Fase 3</v>
      </c>
      <c r="D112" s="76">
        <f>Lotes!D109</f>
        <v>685.11</v>
      </c>
      <c r="E112" s="106">
        <f t="shared" si="11"/>
        <v>600</v>
      </c>
      <c r="F112" s="71">
        <f t="shared" si="12"/>
        <v>85.110000000000014</v>
      </c>
      <c r="G112" s="71">
        <f t="shared" si="13"/>
        <v>0</v>
      </c>
      <c r="H112" s="100">
        <f t="shared" si="14"/>
        <v>257000</v>
      </c>
      <c r="I112" s="107">
        <f>Lotes!J109</f>
        <v>0.08</v>
      </c>
      <c r="J112" s="100">
        <f t="shared" si="15"/>
        <v>277560</v>
      </c>
      <c r="K112" s="100">
        <f t="shared" si="16"/>
        <v>1021.3200000000002</v>
      </c>
      <c r="L112" s="52">
        <f t="shared" si="17"/>
        <v>279000</v>
      </c>
      <c r="M112" s="108">
        <f>Precios!J108</f>
        <v>259207.4</v>
      </c>
      <c r="N112" s="100">
        <f t="shared" si="18"/>
        <v>19792.600000000006</v>
      </c>
      <c r="O112" s="102">
        <f t="shared" si="19"/>
        <v>7.6358159527853006E-2</v>
      </c>
      <c r="P112" s="77">
        <f>IFERROR(L112/(Precios!D108+Precios!E108),"")</f>
        <v>1563.5595357517134</v>
      </c>
    </row>
    <row r="113" spans="1:16" x14ac:dyDescent="0.25">
      <c r="A113" s="92" t="str">
        <f>Lotes!A110</f>
        <v>D-030</v>
      </c>
      <c r="B113" s="93" t="str">
        <f>Lotes!B110</f>
        <v>T4</v>
      </c>
      <c r="C113" s="93" t="str">
        <f>Lotes!C110</f>
        <v>Fase 3</v>
      </c>
      <c r="D113" s="76">
        <f>Lotes!D110</f>
        <v>637.11</v>
      </c>
      <c r="E113" s="106">
        <f t="shared" si="11"/>
        <v>600</v>
      </c>
      <c r="F113" s="71">
        <f t="shared" si="12"/>
        <v>37.110000000000014</v>
      </c>
      <c r="G113" s="71">
        <f t="shared" si="13"/>
        <v>0</v>
      </c>
      <c r="H113" s="100">
        <f t="shared" si="14"/>
        <v>257000</v>
      </c>
      <c r="I113" s="107">
        <f>Lotes!J110</f>
        <v>9.9999999999999967E-3</v>
      </c>
      <c r="J113" s="100">
        <f t="shared" si="15"/>
        <v>259570</v>
      </c>
      <c r="K113" s="100">
        <f t="shared" si="16"/>
        <v>445.32000000000016</v>
      </c>
      <c r="L113" s="52">
        <f t="shared" si="17"/>
        <v>260000</v>
      </c>
      <c r="M113" s="108">
        <f>Precios!J109</f>
        <v>257767.4</v>
      </c>
      <c r="N113" s="100">
        <f t="shared" si="18"/>
        <v>2232.6000000000058</v>
      </c>
      <c r="O113" s="102">
        <f t="shared" si="19"/>
        <v>8.6612969677313956E-3</v>
      </c>
      <c r="P113" s="77">
        <f>IFERROR(L113/(Precios!D109+Precios!E109),"")</f>
        <v>1457.0805709514175</v>
      </c>
    </row>
    <row r="114" spans="1:16" x14ac:dyDescent="0.25">
      <c r="A114" s="92" t="str">
        <f>Lotes!A111</f>
        <v>D-031</v>
      </c>
      <c r="B114" s="93" t="str">
        <f>Lotes!B111</f>
        <v>T4</v>
      </c>
      <c r="C114" s="93" t="str">
        <f>Lotes!C111</f>
        <v>Fase 3</v>
      </c>
      <c r="D114" s="76">
        <f>Lotes!D111</f>
        <v>696.59</v>
      </c>
      <c r="E114" s="106">
        <f t="shared" si="11"/>
        <v>600</v>
      </c>
      <c r="F114" s="71">
        <f t="shared" si="12"/>
        <v>96.590000000000032</v>
      </c>
      <c r="G114" s="71">
        <f t="shared" si="13"/>
        <v>0</v>
      </c>
      <c r="H114" s="100">
        <f t="shared" si="14"/>
        <v>257000</v>
      </c>
      <c r="I114" s="107">
        <f>Lotes!J111</f>
        <v>7.0000000000000007E-2</v>
      </c>
      <c r="J114" s="100">
        <f t="shared" si="15"/>
        <v>274990</v>
      </c>
      <c r="K114" s="100">
        <f t="shared" si="16"/>
        <v>1159.0800000000004</v>
      </c>
      <c r="L114" s="52">
        <f t="shared" si="17"/>
        <v>276000</v>
      </c>
      <c r="M114" s="108">
        <f>Precios!J110</f>
        <v>259551.80000000002</v>
      </c>
      <c r="N114" s="100">
        <f t="shared" si="18"/>
        <v>16448.199999999983</v>
      </c>
      <c r="O114" s="102">
        <f t="shared" si="19"/>
        <v>6.3371550495893228E-2</v>
      </c>
      <c r="P114" s="77">
        <f>IFERROR(L114/(Precios!D110+Precios!E110),"")</f>
        <v>1546.7470676253508</v>
      </c>
    </row>
    <row r="115" spans="1:16" x14ac:dyDescent="0.25">
      <c r="A115" s="92" t="str">
        <f>Lotes!A112</f>
        <v>D-032</v>
      </c>
      <c r="B115" s="93" t="str">
        <f>Lotes!B112</f>
        <v>T4</v>
      </c>
      <c r="C115" s="93" t="str">
        <f>Lotes!C112</f>
        <v>Fase 3</v>
      </c>
      <c r="D115" s="76">
        <f>Lotes!D112</f>
        <v>1016.94</v>
      </c>
      <c r="E115" s="106">
        <f t="shared" si="11"/>
        <v>600</v>
      </c>
      <c r="F115" s="71">
        <f t="shared" si="12"/>
        <v>416.94000000000005</v>
      </c>
      <c r="G115" s="71">
        <f t="shared" si="13"/>
        <v>0</v>
      </c>
      <c r="H115" s="100">
        <f t="shared" si="14"/>
        <v>257000</v>
      </c>
      <c r="I115" s="107">
        <f>Lotes!J112</f>
        <v>7.0000000000000007E-2</v>
      </c>
      <c r="J115" s="100">
        <f t="shared" si="15"/>
        <v>274990</v>
      </c>
      <c r="K115" s="100">
        <f t="shared" si="16"/>
        <v>5003.2800000000007</v>
      </c>
      <c r="L115" s="52">
        <f t="shared" si="17"/>
        <v>280000</v>
      </c>
      <c r="M115" s="108">
        <f>Precios!J111</f>
        <v>269162.30000000005</v>
      </c>
      <c r="N115" s="100">
        <f t="shared" si="18"/>
        <v>10837.699999999953</v>
      </c>
      <c r="O115" s="102">
        <f t="shared" si="19"/>
        <v>4.0264554137039069E-2</v>
      </c>
      <c r="P115" s="77">
        <f>IFERROR(L115/(Precios!D111+Precios!E111),"")</f>
        <v>1569.1636917938342</v>
      </c>
    </row>
    <row r="116" spans="1:16" x14ac:dyDescent="0.25">
      <c r="A116" s="92" t="str">
        <f>Lotes!A113</f>
        <v>D-033</v>
      </c>
      <c r="B116" s="93" t="str">
        <f>Lotes!B113</f>
        <v>T4</v>
      </c>
      <c r="C116" s="93" t="str">
        <f>Lotes!C113</f>
        <v>Fase 3</v>
      </c>
      <c r="D116" s="76">
        <f>Lotes!D113</f>
        <v>793.18</v>
      </c>
      <c r="E116" s="106">
        <f t="shared" si="11"/>
        <v>600</v>
      </c>
      <c r="F116" s="71">
        <f t="shared" si="12"/>
        <v>193.17999999999995</v>
      </c>
      <c r="G116" s="71">
        <f t="shared" si="13"/>
        <v>0</v>
      </c>
      <c r="H116" s="100">
        <f t="shared" si="14"/>
        <v>257000</v>
      </c>
      <c r="I116" s="107">
        <f>Lotes!J113</f>
        <v>0.11000000000000001</v>
      </c>
      <c r="J116" s="100">
        <f t="shared" si="15"/>
        <v>285270</v>
      </c>
      <c r="K116" s="100">
        <f t="shared" si="16"/>
        <v>2318.1599999999994</v>
      </c>
      <c r="L116" s="52">
        <f t="shared" si="17"/>
        <v>288000</v>
      </c>
      <c r="M116" s="108">
        <f>Precios!J112</f>
        <v>262449.5</v>
      </c>
      <c r="N116" s="100">
        <f t="shared" si="18"/>
        <v>25550.5</v>
      </c>
      <c r="O116" s="102">
        <f t="shared" si="19"/>
        <v>9.7353967144155354E-2</v>
      </c>
      <c r="P116" s="77">
        <f>IFERROR(L116/(Precios!D112+Precios!E112),"")</f>
        <v>1613.9969401308008</v>
      </c>
    </row>
    <row r="117" spans="1:16" x14ac:dyDescent="0.25">
      <c r="A117" s="92" t="str">
        <f>Lotes!A114</f>
        <v>D-034</v>
      </c>
      <c r="B117" s="93" t="str">
        <f>Lotes!B114</f>
        <v>T4</v>
      </c>
      <c r="C117" s="93" t="str">
        <f>Lotes!C114</f>
        <v>Fase 3</v>
      </c>
      <c r="D117" s="76">
        <f>Lotes!D114</f>
        <v>732.55</v>
      </c>
      <c r="E117" s="106">
        <f t="shared" si="11"/>
        <v>600</v>
      </c>
      <c r="F117" s="71">
        <f t="shared" si="12"/>
        <v>132.54999999999995</v>
      </c>
      <c r="G117" s="71">
        <f t="shared" si="13"/>
        <v>0</v>
      </c>
      <c r="H117" s="100">
        <f t="shared" si="14"/>
        <v>257000</v>
      </c>
      <c r="I117" s="107">
        <f>Lotes!J114</f>
        <v>3.9999999999999994E-2</v>
      </c>
      <c r="J117" s="100">
        <f t="shared" si="15"/>
        <v>267280</v>
      </c>
      <c r="K117" s="100">
        <f t="shared" si="16"/>
        <v>1590.5999999999995</v>
      </c>
      <c r="L117" s="52">
        <f t="shared" si="17"/>
        <v>269000</v>
      </c>
      <c r="M117" s="108">
        <f>Precios!J113</f>
        <v>260630.6</v>
      </c>
      <c r="N117" s="100">
        <f t="shared" si="18"/>
        <v>8369.3999999999942</v>
      </c>
      <c r="O117" s="102">
        <f t="shared" si="19"/>
        <v>3.2112115768447733E-2</v>
      </c>
      <c r="P117" s="77">
        <f>IFERROR(L117/(Precios!D113+Precios!E113),"")</f>
        <v>1507.5179753305049</v>
      </c>
    </row>
    <row r="118" spans="1:16" x14ac:dyDescent="0.25">
      <c r="A118" s="92" t="str">
        <f>Lotes!A115</f>
        <v>D-035</v>
      </c>
      <c r="B118" s="93" t="str">
        <f>Lotes!B115</f>
        <v>T4</v>
      </c>
      <c r="C118" s="93" t="str">
        <f>Lotes!C115</f>
        <v>Fase 3</v>
      </c>
      <c r="D118" s="76">
        <f>Lotes!D115</f>
        <v>796.67</v>
      </c>
      <c r="E118" s="106">
        <f t="shared" si="11"/>
        <v>600</v>
      </c>
      <c r="F118" s="71">
        <f t="shared" si="12"/>
        <v>196.66999999999996</v>
      </c>
      <c r="G118" s="71">
        <f t="shared" si="13"/>
        <v>0</v>
      </c>
      <c r="H118" s="100">
        <f t="shared" si="14"/>
        <v>257000</v>
      </c>
      <c r="I118" s="107">
        <f>Lotes!J115</f>
        <v>1.9999999999999997E-2</v>
      </c>
      <c r="J118" s="100">
        <f t="shared" si="15"/>
        <v>262140</v>
      </c>
      <c r="K118" s="100">
        <f t="shared" si="16"/>
        <v>2360.0399999999995</v>
      </c>
      <c r="L118" s="52">
        <f t="shared" si="17"/>
        <v>265000</v>
      </c>
      <c r="M118" s="108">
        <f>Precios!J114</f>
        <v>262554.2</v>
      </c>
      <c r="N118" s="100">
        <f t="shared" si="18"/>
        <v>2445.7999999999884</v>
      </c>
      <c r="O118" s="102">
        <f t="shared" si="19"/>
        <v>9.3154099229796668E-3</v>
      </c>
      <c r="P118" s="77">
        <f>IFERROR(L118/(Precios!D114+Precios!E114),"")</f>
        <v>1485.1013511620215</v>
      </c>
    </row>
    <row r="119" spans="1:16" x14ac:dyDescent="0.25">
      <c r="A119" s="92" t="str">
        <f>Lotes!A116</f>
        <v>D-036</v>
      </c>
      <c r="B119" s="93" t="str">
        <f>Lotes!B116</f>
        <v>T4</v>
      </c>
      <c r="C119" s="93" t="str">
        <f>Lotes!C116</f>
        <v>Fase 3</v>
      </c>
      <c r="D119" s="76">
        <f>Lotes!D116</f>
        <v>645.54</v>
      </c>
      <c r="E119" s="106">
        <f t="shared" si="11"/>
        <v>600</v>
      </c>
      <c r="F119" s="71">
        <f t="shared" si="12"/>
        <v>45.539999999999964</v>
      </c>
      <c r="G119" s="71">
        <f t="shared" si="13"/>
        <v>0</v>
      </c>
      <c r="H119" s="100">
        <f t="shared" si="14"/>
        <v>257000</v>
      </c>
      <c r="I119" s="107">
        <f>Lotes!J116</f>
        <v>9.0000000000000011E-2</v>
      </c>
      <c r="J119" s="100">
        <f t="shared" si="15"/>
        <v>280130</v>
      </c>
      <c r="K119" s="100">
        <f t="shared" si="16"/>
        <v>546.47999999999956</v>
      </c>
      <c r="L119" s="52">
        <f t="shared" si="17"/>
        <v>281000</v>
      </c>
      <c r="M119" s="108">
        <f>Precios!J115</f>
        <v>258020.3</v>
      </c>
      <c r="N119" s="100">
        <f t="shared" si="18"/>
        <v>22979.700000000012</v>
      </c>
      <c r="O119" s="102">
        <f t="shared" si="19"/>
        <v>8.9061597091391692E-2</v>
      </c>
      <c r="P119" s="77">
        <f>IFERROR(L119/(Precios!D115+Precios!E115),"")</f>
        <v>1574.7678478359549</v>
      </c>
    </row>
    <row r="120" spans="1:16" x14ac:dyDescent="0.25">
      <c r="A120" s="92" t="str">
        <f>Lotes!A117</f>
        <v>D-037</v>
      </c>
      <c r="B120" s="93" t="str">
        <f>Lotes!B117</f>
        <v>T4</v>
      </c>
      <c r="C120" s="93" t="str">
        <f>Lotes!C117</f>
        <v>Fase 3</v>
      </c>
      <c r="D120" s="76">
        <f>Lotes!D117</f>
        <v>704.2</v>
      </c>
      <c r="E120" s="106">
        <f t="shared" si="11"/>
        <v>600</v>
      </c>
      <c r="F120" s="71">
        <f t="shared" si="12"/>
        <v>104.20000000000005</v>
      </c>
      <c r="G120" s="71">
        <f t="shared" si="13"/>
        <v>0</v>
      </c>
      <c r="H120" s="100">
        <f t="shared" si="14"/>
        <v>257000</v>
      </c>
      <c r="I120" s="107">
        <f>Lotes!J117</f>
        <v>-0.05</v>
      </c>
      <c r="J120" s="100">
        <f t="shared" si="15"/>
        <v>244150</v>
      </c>
      <c r="K120" s="100">
        <f t="shared" si="16"/>
        <v>1250.4000000000005</v>
      </c>
      <c r="L120" s="52">
        <f t="shared" si="17"/>
        <v>245000</v>
      </c>
      <c r="M120" s="108">
        <f>Precios!J116</f>
        <v>259780.1</v>
      </c>
      <c r="N120" s="100">
        <f t="shared" si="18"/>
        <v>-14780.100000000006</v>
      </c>
      <c r="O120" s="102">
        <f t="shared" si="19"/>
        <v>-5.6894658212850044E-2</v>
      </c>
      <c r="P120" s="77">
        <f>IFERROR(L120/(Precios!D116+Precios!E116),"")</f>
        <v>1373.0182303196048</v>
      </c>
    </row>
    <row r="121" spans="1:16" x14ac:dyDescent="0.25">
      <c r="A121" s="92" t="str">
        <f>Lotes!A118</f>
        <v>D-038</v>
      </c>
      <c r="B121" s="93" t="str">
        <f>Lotes!B118</f>
        <v>T4</v>
      </c>
      <c r="C121" s="93" t="str">
        <f>Lotes!C118</f>
        <v>Fase 3</v>
      </c>
      <c r="D121" s="76">
        <f>Lotes!D118</f>
        <v>753.9</v>
      </c>
      <c r="E121" s="106">
        <f t="shared" si="11"/>
        <v>600</v>
      </c>
      <c r="F121" s="71">
        <f t="shared" si="12"/>
        <v>153.89999999999998</v>
      </c>
      <c r="G121" s="71">
        <f t="shared" si="13"/>
        <v>0</v>
      </c>
      <c r="H121" s="100">
        <f t="shared" si="14"/>
        <v>257000</v>
      </c>
      <c r="I121" s="107">
        <f>Lotes!J118</f>
        <v>1.9999999999999997E-2</v>
      </c>
      <c r="J121" s="100">
        <f t="shared" si="15"/>
        <v>262140</v>
      </c>
      <c r="K121" s="100">
        <f t="shared" si="16"/>
        <v>1846.7999999999997</v>
      </c>
      <c r="L121" s="52">
        <f t="shared" si="17"/>
        <v>264000</v>
      </c>
      <c r="M121" s="108">
        <f>Precios!J117</f>
        <v>261271.1</v>
      </c>
      <c r="N121" s="100">
        <f t="shared" si="18"/>
        <v>2728.8999999999942</v>
      </c>
      <c r="O121" s="102">
        <f t="shared" si="19"/>
        <v>1.0444706666753399E-2</v>
      </c>
      <c r="P121" s="77">
        <f>IFERROR(L121/(Precios!D117+Precios!E117),"")</f>
        <v>1479.4971951199007</v>
      </c>
    </row>
    <row r="122" spans="1:16" x14ac:dyDescent="0.25">
      <c r="A122" s="92" t="str">
        <f>Lotes!A119</f>
        <v>D-039</v>
      </c>
      <c r="B122" s="93" t="str">
        <f>Lotes!B119</f>
        <v>T4</v>
      </c>
      <c r="C122" s="93" t="str">
        <f>Lotes!C119</f>
        <v>Fase 3</v>
      </c>
      <c r="D122" s="76">
        <f>Lotes!D119</f>
        <v>957.95</v>
      </c>
      <c r="E122" s="106">
        <f t="shared" si="11"/>
        <v>600</v>
      </c>
      <c r="F122" s="71">
        <f t="shared" si="12"/>
        <v>357.95000000000005</v>
      </c>
      <c r="G122" s="71">
        <f t="shared" si="13"/>
        <v>0</v>
      </c>
      <c r="H122" s="100">
        <f t="shared" si="14"/>
        <v>257000</v>
      </c>
      <c r="I122" s="107">
        <f>Lotes!J119</f>
        <v>7.0000000000000007E-2</v>
      </c>
      <c r="J122" s="100">
        <f t="shared" si="15"/>
        <v>274990</v>
      </c>
      <c r="K122" s="100">
        <f t="shared" si="16"/>
        <v>4295.4000000000005</v>
      </c>
      <c r="L122" s="52">
        <f t="shared" si="17"/>
        <v>279000</v>
      </c>
      <c r="M122" s="108">
        <f>Precios!J118</f>
        <v>267392.60000000003</v>
      </c>
      <c r="N122" s="100">
        <f t="shared" si="18"/>
        <v>11607.399999999965</v>
      </c>
      <c r="O122" s="102">
        <f t="shared" si="19"/>
        <v>4.3409578275539276E-2</v>
      </c>
      <c r="P122" s="77">
        <f>IFERROR(L122/(Precios!D118+Precios!E118),"")</f>
        <v>1563.5595357517134</v>
      </c>
    </row>
    <row r="123" spans="1:16" x14ac:dyDescent="0.25">
      <c r="A123" s="92" t="str">
        <f>Lotes!A120</f>
        <v>D-040</v>
      </c>
      <c r="B123" s="93" t="str">
        <f>Lotes!B120</f>
        <v>T4</v>
      </c>
      <c r="C123" s="93" t="str">
        <f>Lotes!C120</f>
        <v>Fase 3</v>
      </c>
      <c r="D123" s="76">
        <f>Lotes!D120</f>
        <v>646.22</v>
      </c>
      <c r="E123" s="106">
        <f t="shared" si="11"/>
        <v>600</v>
      </c>
      <c r="F123" s="71">
        <f t="shared" si="12"/>
        <v>46.220000000000027</v>
      </c>
      <c r="G123" s="71">
        <f t="shared" si="13"/>
        <v>0</v>
      </c>
      <c r="H123" s="100">
        <f t="shared" si="14"/>
        <v>257000</v>
      </c>
      <c r="I123" s="107">
        <f>Lotes!J120</f>
        <v>-0.01</v>
      </c>
      <c r="J123" s="100">
        <f t="shared" si="15"/>
        <v>254430</v>
      </c>
      <c r="K123" s="100">
        <f t="shared" si="16"/>
        <v>554.64000000000033</v>
      </c>
      <c r="L123" s="52">
        <f t="shared" si="17"/>
        <v>255000</v>
      </c>
      <c r="M123" s="108">
        <f>Precios!J119</f>
        <v>258040.7</v>
      </c>
      <c r="N123" s="100">
        <f t="shared" si="18"/>
        <v>-3040.7000000000116</v>
      </c>
      <c r="O123" s="102">
        <f t="shared" si="19"/>
        <v>-1.1783799997442309E-2</v>
      </c>
      <c r="P123" s="77">
        <f>IFERROR(L123/(Precios!D119+Precios!E119),"")</f>
        <v>1429.0597907408132</v>
      </c>
    </row>
    <row r="124" spans="1:16" x14ac:dyDescent="0.25">
      <c r="A124" s="92" t="str">
        <f>Lotes!A121</f>
        <v>D-041</v>
      </c>
      <c r="B124" s="93" t="str">
        <f>Lotes!B121</f>
        <v>T4</v>
      </c>
      <c r="C124" s="93" t="str">
        <f>Lotes!C121</f>
        <v>Fase 3</v>
      </c>
      <c r="D124" s="76">
        <f>Lotes!D121</f>
        <v>604.61</v>
      </c>
      <c r="E124" s="106">
        <f t="shared" si="11"/>
        <v>600</v>
      </c>
      <c r="F124" s="71">
        <f t="shared" si="12"/>
        <v>4.6100000000000136</v>
      </c>
      <c r="G124" s="71">
        <f t="shared" si="13"/>
        <v>0</v>
      </c>
      <c r="H124" s="100">
        <f t="shared" si="14"/>
        <v>257000</v>
      </c>
      <c r="I124" s="107">
        <f>Lotes!J121</f>
        <v>0.11000000000000001</v>
      </c>
      <c r="J124" s="100">
        <f t="shared" si="15"/>
        <v>285270</v>
      </c>
      <c r="K124" s="100">
        <f t="shared" si="16"/>
        <v>55.320000000000164</v>
      </c>
      <c r="L124" s="52">
        <f t="shared" si="17"/>
        <v>285000</v>
      </c>
      <c r="M124" s="108">
        <f>Precios!J120</f>
        <v>256792.4</v>
      </c>
      <c r="N124" s="100">
        <f t="shared" si="18"/>
        <v>28207.600000000006</v>
      </c>
      <c r="O124" s="102">
        <f t="shared" si="19"/>
        <v>0.10984593001973582</v>
      </c>
      <c r="P124" s="77">
        <f>IFERROR(L124/(Precios!D120+Precios!E120),"")</f>
        <v>1597.1844720044382</v>
      </c>
    </row>
    <row r="125" spans="1:16" x14ac:dyDescent="0.25">
      <c r="A125" s="92" t="str">
        <f>Lotes!A122</f>
        <v>D-042</v>
      </c>
      <c r="B125" s="93" t="str">
        <f>Lotes!B122</f>
        <v>T4</v>
      </c>
      <c r="C125" s="93" t="str">
        <f>Lotes!C122</f>
        <v>Fase 3</v>
      </c>
      <c r="D125" s="76">
        <f>Lotes!D122</f>
        <v>569.86</v>
      </c>
      <c r="E125" s="106">
        <f t="shared" si="11"/>
        <v>600</v>
      </c>
      <c r="F125" s="71">
        <f t="shared" si="12"/>
        <v>0</v>
      </c>
      <c r="G125" s="71">
        <f t="shared" si="13"/>
        <v>30.139999999999986</v>
      </c>
      <c r="H125" s="100">
        <f t="shared" si="14"/>
        <v>257000</v>
      </c>
      <c r="I125" s="107">
        <f>Lotes!J122</f>
        <v>1.9999999999999997E-2</v>
      </c>
      <c r="J125" s="100">
        <f t="shared" si="15"/>
        <v>262140</v>
      </c>
      <c r="K125" s="100">
        <f t="shared" si="16"/>
        <v>0</v>
      </c>
      <c r="L125" s="52">
        <f t="shared" si="17"/>
        <v>262000</v>
      </c>
      <c r="M125" s="108">
        <f>Precios!J121</f>
        <v>255749.9</v>
      </c>
      <c r="N125" s="100">
        <f t="shared" si="18"/>
        <v>6250.1000000000058</v>
      </c>
      <c r="O125" s="102">
        <f t="shared" si="19"/>
        <v>2.4438328226130318E-2</v>
      </c>
      <c r="P125" s="77">
        <f>IFERROR(L125/(Precios!D121+Precios!E121),"")</f>
        <v>1468.2888830356592</v>
      </c>
    </row>
    <row r="126" spans="1:16" x14ac:dyDescent="0.25">
      <c r="A126" s="92" t="str">
        <f>Lotes!A123</f>
        <v>D-043</v>
      </c>
      <c r="B126" s="93" t="str">
        <f>Lotes!B123</f>
        <v>T4</v>
      </c>
      <c r="C126" s="93" t="str">
        <f>Lotes!C123</f>
        <v>Fase 3</v>
      </c>
      <c r="D126" s="76">
        <f>Lotes!D123</f>
        <v>569.03</v>
      </c>
      <c r="E126" s="106">
        <f t="shared" si="11"/>
        <v>600</v>
      </c>
      <c r="F126" s="71">
        <f t="shared" si="12"/>
        <v>0</v>
      </c>
      <c r="G126" s="71">
        <f t="shared" si="13"/>
        <v>30.970000000000027</v>
      </c>
      <c r="H126" s="100">
        <f t="shared" si="14"/>
        <v>257000</v>
      </c>
      <c r="I126" s="107">
        <f>Lotes!J123</f>
        <v>7.0000000000000007E-2</v>
      </c>
      <c r="J126" s="100">
        <f t="shared" si="15"/>
        <v>274990</v>
      </c>
      <c r="K126" s="100">
        <f t="shared" si="16"/>
        <v>0</v>
      </c>
      <c r="L126" s="52">
        <f t="shared" si="17"/>
        <v>275000</v>
      </c>
      <c r="M126" s="108">
        <f>Precios!J122</f>
        <v>255725</v>
      </c>
      <c r="N126" s="100">
        <f t="shared" si="18"/>
        <v>19275</v>
      </c>
      <c r="O126" s="102">
        <f t="shared" si="19"/>
        <v>7.5373936846221526E-2</v>
      </c>
      <c r="P126" s="77">
        <f>IFERROR(L126/(Precios!D122+Precios!E122),"")</f>
        <v>1541.14291158323</v>
      </c>
    </row>
    <row r="127" spans="1:16" x14ac:dyDescent="0.25">
      <c r="A127" s="92" t="str">
        <f>Lotes!A124</f>
        <v>D-044</v>
      </c>
      <c r="B127" s="93" t="str">
        <f>Lotes!B124</f>
        <v>T4</v>
      </c>
      <c r="C127" s="93" t="str">
        <f>Lotes!C124</f>
        <v>Fase 3</v>
      </c>
      <c r="D127" s="76">
        <f>Lotes!D124</f>
        <v>696.56</v>
      </c>
      <c r="E127" s="106">
        <f t="shared" si="11"/>
        <v>600</v>
      </c>
      <c r="F127" s="71">
        <f t="shared" si="12"/>
        <v>96.559999999999945</v>
      </c>
      <c r="G127" s="71">
        <f t="shared" si="13"/>
        <v>0</v>
      </c>
      <c r="H127" s="100">
        <f t="shared" si="14"/>
        <v>257000</v>
      </c>
      <c r="I127" s="107">
        <f>Lotes!J124</f>
        <v>0.01</v>
      </c>
      <c r="J127" s="100">
        <f t="shared" si="15"/>
        <v>259570</v>
      </c>
      <c r="K127" s="100">
        <f t="shared" si="16"/>
        <v>1158.7199999999993</v>
      </c>
      <c r="L127" s="52">
        <f t="shared" si="17"/>
        <v>261000</v>
      </c>
      <c r="M127" s="108">
        <f>Precios!J123</f>
        <v>259550.9</v>
      </c>
      <c r="N127" s="100">
        <f t="shared" si="18"/>
        <v>1449.1000000000058</v>
      </c>
      <c r="O127" s="102">
        <f t="shared" si="19"/>
        <v>5.5831052791572126E-3</v>
      </c>
      <c r="P127" s="77">
        <f>IFERROR(L127/(Precios!D123+Precios!E123),"")</f>
        <v>1462.6847269935383</v>
      </c>
    </row>
    <row r="128" spans="1:16" x14ac:dyDescent="0.25">
      <c r="A128" s="92" t="str">
        <f>Lotes!A125</f>
        <v>D-045</v>
      </c>
      <c r="B128" s="93" t="str">
        <f>Lotes!B125</f>
        <v>T4</v>
      </c>
      <c r="C128" s="93" t="str">
        <f>Lotes!C125</f>
        <v>Fase 3</v>
      </c>
      <c r="D128" s="76">
        <f>Lotes!D125</f>
        <v>568.07000000000005</v>
      </c>
      <c r="E128" s="106">
        <f t="shared" si="11"/>
        <v>600</v>
      </c>
      <c r="F128" s="71">
        <f t="shared" si="12"/>
        <v>0</v>
      </c>
      <c r="G128" s="71">
        <f t="shared" si="13"/>
        <v>31.92999999999995</v>
      </c>
      <c r="H128" s="100">
        <f t="shared" si="14"/>
        <v>257000</v>
      </c>
      <c r="I128" s="107">
        <f>Lotes!J125</f>
        <v>-0.02</v>
      </c>
      <c r="J128" s="100">
        <f t="shared" si="15"/>
        <v>251860</v>
      </c>
      <c r="K128" s="100">
        <f t="shared" si="16"/>
        <v>0</v>
      </c>
      <c r="L128" s="52">
        <f t="shared" si="17"/>
        <v>252000</v>
      </c>
      <c r="M128" s="108">
        <f>Precios!J124</f>
        <v>255696.2</v>
      </c>
      <c r="N128" s="100">
        <f t="shared" si="18"/>
        <v>-3696.2000000000116</v>
      </c>
      <c r="O128" s="102">
        <f t="shared" si="19"/>
        <v>-1.4455435786687528E-2</v>
      </c>
      <c r="P128" s="77">
        <f>IFERROR(L128/(Precios!D124+Precios!E124),"")</f>
        <v>1412.2473226144507</v>
      </c>
    </row>
    <row r="129" spans="1:16" x14ac:dyDescent="0.25">
      <c r="A129" s="92" t="str">
        <f>Lotes!A126</f>
        <v>D-046</v>
      </c>
      <c r="B129" s="93" t="str">
        <f>Lotes!B126</f>
        <v>T4</v>
      </c>
      <c r="C129" s="93" t="str">
        <f>Lotes!C126</f>
        <v>Fase 3</v>
      </c>
      <c r="D129" s="76">
        <f>Lotes!D126</f>
        <v>694.45</v>
      </c>
      <c r="E129" s="106">
        <f t="shared" si="11"/>
        <v>600</v>
      </c>
      <c r="F129" s="71">
        <f t="shared" si="12"/>
        <v>94.450000000000045</v>
      </c>
      <c r="G129" s="71">
        <f t="shared" si="13"/>
        <v>0</v>
      </c>
      <c r="H129" s="100">
        <f t="shared" si="14"/>
        <v>257000</v>
      </c>
      <c r="I129" s="107">
        <f>Lotes!J126</f>
        <v>0.08</v>
      </c>
      <c r="J129" s="100">
        <f t="shared" si="15"/>
        <v>277560</v>
      </c>
      <c r="K129" s="100">
        <f t="shared" si="16"/>
        <v>1133.4000000000005</v>
      </c>
      <c r="L129" s="52">
        <f t="shared" si="17"/>
        <v>279000</v>
      </c>
      <c r="M129" s="108">
        <f>Precios!J125</f>
        <v>259487.6</v>
      </c>
      <c r="N129" s="100">
        <f t="shared" si="18"/>
        <v>19512.399999999994</v>
      </c>
      <c r="O129" s="102">
        <f t="shared" si="19"/>
        <v>7.5195886046192553E-2</v>
      </c>
      <c r="P129" s="77">
        <f>IFERROR(L129/(Precios!D125+Precios!E125),"")</f>
        <v>1563.5595357517134</v>
      </c>
    </row>
    <row r="130" spans="1:16" x14ac:dyDescent="0.25">
      <c r="A130" s="92" t="str">
        <f>Lotes!A127</f>
        <v>D-047</v>
      </c>
      <c r="B130" s="93" t="str">
        <f>Lotes!B127</f>
        <v>T4</v>
      </c>
      <c r="C130" s="93" t="str">
        <f>Lotes!C127</f>
        <v>Fase 3</v>
      </c>
      <c r="D130" s="76">
        <f>Lotes!D127</f>
        <v>713.87</v>
      </c>
      <c r="E130" s="106">
        <f t="shared" si="11"/>
        <v>600</v>
      </c>
      <c r="F130" s="71">
        <f t="shared" si="12"/>
        <v>113.87</v>
      </c>
      <c r="G130" s="71">
        <f t="shared" si="13"/>
        <v>0</v>
      </c>
      <c r="H130" s="100">
        <f t="shared" si="14"/>
        <v>257000</v>
      </c>
      <c r="I130" s="107">
        <f>Lotes!J127</f>
        <v>9.9999999999999967E-3</v>
      </c>
      <c r="J130" s="100">
        <f t="shared" si="15"/>
        <v>259570</v>
      </c>
      <c r="K130" s="100">
        <f t="shared" si="16"/>
        <v>1366.44</v>
      </c>
      <c r="L130" s="52">
        <f t="shared" si="17"/>
        <v>261000</v>
      </c>
      <c r="M130" s="108">
        <f>Precios!J126</f>
        <v>260070.2</v>
      </c>
      <c r="N130" s="100">
        <f t="shared" si="18"/>
        <v>929.79999999998836</v>
      </c>
      <c r="O130" s="102">
        <f t="shared" si="19"/>
        <v>3.5751885452465848E-3</v>
      </c>
      <c r="P130" s="77">
        <f>IFERROR(L130/(Precios!D126+Precios!E126),"")</f>
        <v>1462.6847269935383</v>
      </c>
    </row>
    <row r="131" spans="1:16" x14ac:dyDescent="0.25">
      <c r="A131" s="92" t="str">
        <f>Lotes!A128</f>
        <v>D-048</v>
      </c>
      <c r="B131" s="93" t="str">
        <f>Lotes!B128</f>
        <v>T4</v>
      </c>
      <c r="C131" s="93" t="str">
        <f>Lotes!C128</f>
        <v>Fase 3</v>
      </c>
      <c r="D131" s="76">
        <f>Lotes!D128</f>
        <v>803.22</v>
      </c>
      <c r="E131" s="106">
        <f t="shared" si="11"/>
        <v>600</v>
      </c>
      <c r="F131" s="71">
        <f t="shared" si="12"/>
        <v>203.22000000000003</v>
      </c>
      <c r="G131" s="71">
        <f t="shared" si="13"/>
        <v>0</v>
      </c>
      <c r="H131" s="100">
        <f t="shared" si="14"/>
        <v>257000</v>
      </c>
      <c r="I131" s="107">
        <f>Lotes!J128</f>
        <v>-0.02</v>
      </c>
      <c r="J131" s="100">
        <f t="shared" si="15"/>
        <v>251860</v>
      </c>
      <c r="K131" s="100">
        <f t="shared" si="16"/>
        <v>2438.6400000000003</v>
      </c>
      <c r="L131" s="52">
        <f t="shared" si="17"/>
        <v>254000</v>
      </c>
      <c r="M131" s="108">
        <f>Precios!J127</f>
        <v>262750.7</v>
      </c>
      <c r="N131" s="100">
        <f t="shared" si="18"/>
        <v>-8750.7000000000116</v>
      </c>
      <c r="O131" s="102">
        <f t="shared" si="19"/>
        <v>-3.3304192909857179E-2</v>
      </c>
      <c r="P131" s="77">
        <f>IFERROR(L131/(Precios!D127+Precios!E127),"")</f>
        <v>1423.4556346986924</v>
      </c>
    </row>
    <row r="132" spans="1:16" x14ac:dyDescent="0.25">
      <c r="A132" s="92" t="str">
        <f>Lotes!A129</f>
        <v>D-049</v>
      </c>
      <c r="B132" s="93" t="str">
        <f>Lotes!B129</f>
        <v>T4</v>
      </c>
      <c r="C132" s="93" t="str">
        <f>Lotes!C129</f>
        <v>Fase 3</v>
      </c>
      <c r="D132" s="76">
        <f>Lotes!D129</f>
        <v>724.28</v>
      </c>
      <c r="E132" s="106">
        <f t="shared" si="11"/>
        <v>600</v>
      </c>
      <c r="F132" s="71">
        <f t="shared" si="12"/>
        <v>124.27999999999997</v>
      </c>
      <c r="G132" s="71">
        <f t="shared" si="13"/>
        <v>0</v>
      </c>
      <c r="H132" s="100">
        <f t="shared" si="14"/>
        <v>257000</v>
      </c>
      <c r="I132" s="107">
        <f>Lotes!J129</f>
        <v>0.01</v>
      </c>
      <c r="J132" s="100">
        <f t="shared" si="15"/>
        <v>259570</v>
      </c>
      <c r="K132" s="100">
        <f t="shared" si="16"/>
        <v>1491.3599999999997</v>
      </c>
      <c r="L132" s="52">
        <f t="shared" si="17"/>
        <v>261000</v>
      </c>
      <c r="M132" s="108">
        <f>Precios!J128</f>
        <v>260382.5</v>
      </c>
      <c r="N132" s="100">
        <f t="shared" si="18"/>
        <v>617.5</v>
      </c>
      <c r="O132" s="102">
        <f t="shared" si="19"/>
        <v>2.3715111422618648E-3</v>
      </c>
      <c r="P132" s="77">
        <f>IFERROR(L132/(Precios!D128+Precios!E128),"")</f>
        <v>1462.6847269935383</v>
      </c>
    </row>
    <row r="133" spans="1:16" x14ac:dyDescent="0.25">
      <c r="A133" s="92" t="str">
        <f>Lotes!A130</f>
        <v>D-050</v>
      </c>
      <c r="B133" s="93" t="str">
        <f>Lotes!B130</f>
        <v>T4</v>
      </c>
      <c r="C133" s="93" t="str">
        <f>Lotes!C130</f>
        <v>Fase 3</v>
      </c>
      <c r="D133" s="76">
        <f>Lotes!D130</f>
        <v>643.52</v>
      </c>
      <c r="E133" s="106">
        <f t="shared" si="11"/>
        <v>600</v>
      </c>
      <c r="F133" s="71">
        <f t="shared" si="12"/>
        <v>43.519999999999982</v>
      </c>
      <c r="G133" s="71">
        <f t="shared" si="13"/>
        <v>0</v>
      </c>
      <c r="H133" s="100">
        <f t="shared" si="14"/>
        <v>257000</v>
      </c>
      <c r="I133" s="107">
        <f>Lotes!J130</f>
        <v>1.9999999999999997E-2</v>
      </c>
      <c r="J133" s="100">
        <f t="shared" si="15"/>
        <v>262140</v>
      </c>
      <c r="K133" s="100">
        <f t="shared" si="16"/>
        <v>522.23999999999978</v>
      </c>
      <c r="L133" s="52">
        <f t="shared" si="17"/>
        <v>263000</v>
      </c>
      <c r="M133" s="108">
        <f>Precios!J129</f>
        <v>257959.7</v>
      </c>
      <c r="N133" s="100">
        <f t="shared" si="18"/>
        <v>5040.2999999999884</v>
      </c>
      <c r="O133" s="102">
        <f t="shared" si="19"/>
        <v>1.9539098549114408E-2</v>
      </c>
      <c r="P133" s="77">
        <f>IFERROR(L133/(Precios!D129+Precios!E129),"")</f>
        <v>1473.8930390777798</v>
      </c>
    </row>
    <row r="134" spans="1:16" x14ac:dyDescent="0.25">
      <c r="A134" s="92" t="str">
        <f>Lotes!A131</f>
        <v>D-051</v>
      </c>
      <c r="B134" s="93" t="str">
        <f>Lotes!B131</f>
        <v>T4</v>
      </c>
      <c r="C134" s="93" t="str">
        <f>Lotes!C131</f>
        <v>Fase 3</v>
      </c>
      <c r="D134" s="76">
        <f>Lotes!D131</f>
        <v>609.52</v>
      </c>
      <c r="E134" s="106">
        <f t="shared" si="11"/>
        <v>600</v>
      </c>
      <c r="F134" s="71">
        <f t="shared" si="12"/>
        <v>9.5199999999999818</v>
      </c>
      <c r="G134" s="71">
        <f t="shared" si="13"/>
        <v>0</v>
      </c>
      <c r="H134" s="100">
        <f t="shared" si="14"/>
        <v>257000</v>
      </c>
      <c r="I134" s="107">
        <f>Lotes!J131</f>
        <v>0.06</v>
      </c>
      <c r="J134" s="100">
        <f t="shared" si="15"/>
        <v>272420</v>
      </c>
      <c r="K134" s="100">
        <f t="shared" si="16"/>
        <v>114.23999999999978</v>
      </c>
      <c r="L134" s="52">
        <f t="shared" si="17"/>
        <v>273000</v>
      </c>
      <c r="M134" s="108">
        <f>Precios!J130</f>
        <v>256939.7</v>
      </c>
      <c r="N134" s="100">
        <f t="shared" si="18"/>
        <v>16060.299999999988</v>
      </c>
      <c r="O134" s="102">
        <f t="shared" si="19"/>
        <v>6.2506105518142924E-2</v>
      </c>
      <c r="P134" s="77">
        <f>IFERROR(L134/(Precios!D130+Precios!E130),"")</f>
        <v>1529.9345994989883</v>
      </c>
    </row>
    <row r="135" spans="1:16" x14ac:dyDescent="0.25">
      <c r="A135" s="92" t="str">
        <f>Lotes!A132</f>
        <v>D-052</v>
      </c>
      <c r="B135" s="93" t="str">
        <f>Lotes!B132</f>
        <v>T4</v>
      </c>
      <c r="C135" s="93" t="str">
        <f>Lotes!C132</f>
        <v>Fase 3</v>
      </c>
      <c r="D135" s="76">
        <f>Lotes!D132</f>
        <v>762.03</v>
      </c>
      <c r="E135" s="106">
        <f t="shared" si="11"/>
        <v>600</v>
      </c>
      <c r="F135" s="71">
        <f t="shared" si="12"/>
        <v>162.02999999999997</v>
      </c>
      <c r="G135" s="71">
        <f t="shared" si="13"/>
        <v>0</v>
      </c>
      <c r="H135" s="100">
        <f t="shared" si="14"/>
        <v>257000</v>
      </c>
      <c r="I135" s="107">
        <f>Lotes!J132</f>
        <v>0</v>
      </c>
      <c r="J135" s="100">
        <f t="shared" si="15"/>
        <v>257000</v>
      </c>
      <c r="K135" s="100">
        <f t="shared" si="16"/>
        <v>1944.3599999999997</v>
      </c>
      <c r="L135" s="52">
        <f t="shared" si="17"/>
        <v>259000</v>
      </c>
      <c r="M135" s="108">
        <f>Precios!J131</f>
        <v>261515</v>
      </c>
      <c r="N135" s="100">
        <f t="shared" si="18"/>
        <v>-2515</v>
      </c>
      <c r="O135" s="102">
        <f t="shared" si="19"/>
        <v>-9.617039175573102E-3</v>
      </c>
      <c r="P135" s="77">
        <f>IFERROR(L135/(Precios!D131+Precios!E131),"")</f>
        <v>1451.4764149092966</v>
      </c>
    </row>
    <row r="136" spans="1:16" x14ac:dyDescent="0.25">
      <c r="A136" s="92" t="str">
        <f>Lotes!A133</f>
        <v>D-053</v>
      </c>
      <c r="B136" s="93" t="str">
        <f>Lotes!B133</f>
        <v>T4</v>
      </c>
      <c r="C136" s="93" t="str">
        <f>Lotes!C133</f>
        <v>Fase 3</v>
      </c>
      <c r="D136" s="76">
        <f>Lotes!D133</f>
        <v>671.04</v>
      </c>
      <c r="E136" s="106">
        <f t="shared" si="11"/>
        <v>600</v>
      </c>
      <c r="F136" s="71">
        <f t="shared" si="12"/>
        <v>71.039999999999964</v>
      </c>
      <c r="G136" s="71">
        <f t="shared" si="13"/>
        <v>0</v>
      </c>
      <c r="H136" s="100">
        <f t="shared" si="14"/>
        <v>257000</v>
      </c>
      <c r="I136" s="107">
        <f>Lotes!J133</f>
        <v>7.0000000000000007E-2</v>
      </c>
      <c r="J136" s="100">
        <f t="shared" si="15"/>
        <v>274990</v>
      </c>
      <c r="K136" s="100">
        <f t="shared" si="16"/>
        <v>852.47999999999956</v>
      </c>
      <c r="L136" s="52">
        <f t="shared" si="17"/>
        <v>276000</v>
      </c>
      <c r="M136" s="108">
        <f>Precios!J132</f>
        <v>258785.3</v>
      </c>
      <c r="N136" s="100">
        <f t="shared" si="18"/>
        <v>17214.700000000012</v>
      </c>
      <c r="O136" s="102">
        <f t="shared" si="19"/>
        <v>6.6521166387735364E-2</v>
      </c>
      <c r="P136" s="77">
        <f>IFERROR(L136/(Precios!D132+Precios!E132),"")</f>
        <v>1546.7470676253508</v>
      </c>
    </row>
    <row r="137" spans="1:16" x14ac:dyDescent="0.25">
      <c r="A137" s="92" t="str">
        <f>Lotes!A134</f>
        <v>D-054</v>
      </c>
      <c r="B137" s="93" t="str">
        <f>Lotes!B134</f>
        <v>T4</v>
      </c>
      <c r="C137" s="93" t="str">
        <f>Lotes!C134</f>
        <v>Fase 3</v>
      </c>
      <c r="D137" s="76">
        <f>Lotes!D134</f>
        <v>1289.47</v>
      </c>
      <c r="E137" s="106">
        <f t="shared" si="11"/>
        <v>600</v>
      </c>
      <c r="F137" s="71">
        <f t="shared" si="12"/>
        <v>689.47</v>
      </c>
      <c r="G137" s="71">
        <f t="shared" si="13"/>
        <v>0</v>
      </c>
      <c r="H137" s="100">
        <f t="shared" si="14"/>
        <v>257000</v>
      </c>
      <c r="I137" s="107">
        <f>Lotes!J134</f>
        <v>3.9999999999999994E-2</v>
      </c>
      <c r="J137" s="100">
        <f t="shared" si="15"/>
        <v>267280</v>
      </c>
      <c r="K137" s="100">
        <f t="shared" si="16"/>
        <v>8273.64</v>
      </c>
      <c r="L137" s="52">
        <f t="shared" si="17"/>
        <v>276000</v>
      </c>
      <c r="M137" s="108">
        <f>Precios!J133</f>
        <v>277338.2</v>
      </c>
      <c r="N137" s="100">
        <f t="shared" si="18"/>
        <v>-1338.2000000000116</v>
      </c>
      <c r="O137" s="102">
        <f t="shared" si="19"/>
        <v>-4.825155712411819E-3</v>
      </c>
      <c r="P137" s="77">
        <f>IFERROR(L137/(Precios!D133+Precios!E133),"")</f>
        <v>1546.7470676253508</v>
      </c>
    </row>
    <row r="138" spans="1:16" x14ac:dyDescent="0.25">
      <c r="A138" s="92" t="str">
        <f>Lotes!A135</f>
        <v>D-055</v>
      </c>
      <c r="B138" s="93" t="str">
        <f>Lotes!B135</f>
        <v>T4</v>
      </c>
      <c r="C138" s="93" t="str">
        <f>Lotes!C135</f>
        <v>Fase 2</v>
      </c>
      <c r="D138" s="76">
        <f>Lotes!D135</f>
        <v>739.28</v>
      </c>
      <c r="E138" s="106">
        <f t="shared" si="11"/>
        <v>600</v>
      </c>
      <c r="F138" s="71">
        <f t="shared" si="12"/>
        <v>139.27999999999997</v>
      </c>
      <c r="G138" s="71">
        <f t="shared" si="13"/>
        <v>0</v>
      </c>
      <c r="H138" s="100">
        <f t="shared" si="14"/>
        <v>257000</v>
      </c>
      <c r="I138" s="107">
        <f>Lotes!J135</f>
        <v>3.9999999999999994E-2</v>
      </c>
      <c r="J138" s="100">
        <f t="shared" si="15"/>
        <v>267280</v>
      </c>
      <c r="K138" s="100">
        <f t="shared" si="16"/>
        <v>1671.3599999999997</v>
      </c>
      <c r="L138" s="52">
        <f t="shared" si="17"/>
        <v>269000</v>
      </c>
      <c r="M138" s="108">
        <f>Precios!J134</f>
        <v>260832.5</v>
      </c>
      <c r="N138" s="100">
        <f t="shared" si="18"/>
        <v>8167.5</v>
      </c>
      <c r="O138" s="102">
        <f t="shared" si="19"/>
        <v>3.1313199083703142E-2</v>
      </c>
      <c r="P138" s="77">
        <f>IFERROR(L138/(Precios!D134+Precios!E134),"")</f>
        <v>1507.5179753305049</v>
      </c>
    </row>
    <row r="139" spans="1:16" x14ac:dyDescent="0.25">
      <c r="A139" s="92" t="str">
        <f>Lotes!A136</f>
        <v>D-056</v>
      </c>
      <c r="B139" s="93" t="str">
        <f>Lotes!B136</f>
        <v>T4</v>
      </c>
      <c r="C139" s="93" t="str">
        <f>Lotes!C136</f>
        <v>Fase 2</v>
      </c>
      <c r="D139" s="76">
        <f>Lotes!D136</f>
        <v>831.24</v>
      </c>
      <c r="E139" s="106">
        <f t="shared" si="11"/>
        <v>600</v>
      </c>
      <c r="F139" s="71">
        <f t="shared" si="12"/>
        <v>231.24</v>
      </c>
      <c r="G139" s="71">
        <f t="shared" si="13"/>
        <v>0</v>
      </c>
      <c r="H139" s="100">
        <f t="shared" si="14"/>
        <v>257000</v>
      </c>
      <c r="I139" s="107">
        <f>Lotes!J136</f>
        <v>7.0000000000000007E-2</v>
      </c>
      <c r="J139" s="100">
        <f t="shared" si="15"/>
        <v>274990</v>
      </c>
      <c r="K139" s="100">
        <f t="shared" si="16"/>
        <v>2774.88</v>
      </c>
      <c r="L139" s="52">
        <f t="shared" si="17"/>
        <v>278000</v>
      </c>
      <c r="M139" s="108">
        <f>Precios!J135</f>
        <v>263591.30000000005</v>
      </c>
      <c r="N139" s="100">
        <f t="shared" si="18"/>
        <v>14408.699999999953</v>
      </c>
      <c r="O139" s="102">
        <f t="shared" si="19"/>
        <v>5.4663033263996005E-2</v>
      </c>
      <c r="P139" s="77">
        <f>IFERROR(L139/(Precios!D135+Precios!E135),"")</f>
        <v>1557.9553797095925</v>
      </c>
    </row>
    <row r="140" spans="1:16" x14ac:dyDescent="0.25">
      <c r="A140" s="92" t="str">
        <f>Lotes!A137</f>
        <v>D-057</v>
      </c>
      <c r="B140" s="93" t="str">
        <f>Lotes!B137</f>
        <v>T4</v>
      </c>
      <c r="C140" s="93" t="str">
        <f>Lotes!C137</f>
        <v>Fase 2</v>
      </c>
      <c r="D140" s="76">
        <f>Lotes!D137</f>
        <v>804.93</v>
      </c>
      <c r="E140" s="106">
        <f t="shared" si="11"/>
        <v>600</v>
      </c>
      <c r="F140" s="71">
        <f t="shared" si="12"/>
        <v>204.92999999999995</v>
      </c>
      <c r="G140" s="71">
        <f t="shared" si="13"/>
        <v>0</v>
      </c>
      <c r="H140" s="100">
        <f t="shared" si="14"/>
        <v>257000</v>
      </c>
      <c r="I140" s="107">
        <f>Lotes!J137</f>
        <v>0</v>
      </c>
      <c r="J140" s="100">
        <f t="shared" si="15"/>
        <v>257000</v>
      </c>
      <c r="K140" s="100">
        <f t="shared" si="16"/>
        <v>2459.1599999999994</v>
      </c>
      <c r="L140" s="52">
        <f t="shared" si="17"/>
        <v>259000</v>
      </c>
      <c r="M140" s="108">
        <f>Precios!J136</f>
        <v>262802</v>
      </c>
      <c r="N140" s="100">
        <f t="shared" si="18"/>
        <v>-3802</v>
      </c>
      <c r="O140" s="102">
        <f t="shared" si="19"/>
        <v>-1.4467165394479495E-2</v>
      </c>
      <c r="P140" s="77">
        <f>IFERROR(L140/(Precios!D136+Precios!E136),"")</f>
        <v>1451.4764149092966</v>
      </c>
    </row>
    <row r="141" spans="1:16" x14ac:dyDescent="0.25">
      <c r="A141" s="92" t="str">
        <f>Lotes!A138</f>
        <v>D-058</v>
      </c>
      <c r="B141" s="93" t="str">
        <f>Lotes!B138</f>
        <v>T4</v>
      </c>
      <c r="C141" s="93" t="str">
        <f>Lotes!C138</f>
        <v>Fase 2</v>
      </c>
      <c r="D141" s="76">
        <f>Lotes!D138</f>
        <v>870.24</v>
      </c>
      <c r="E141" s="106">
        <f t="shared" si="11"/>
        <v>600</v>
      </c>
      <c r="F141" s="71">
        <f t="shared" si="12"/>
        <v>270.24</v>
      </c>
      <c r="G141" s="71">
        <f t="shared" si="13"/>
        <v>0</v>
      </c>
      <c r="H141" s="100">
        <f t="shared" si="14"/>
        <v>257000</v>
      </c>
      <c r="I141" s="107">
        <f>Lotes!J138</f>
        <v>0.05</v>
      </c>
      <c r="J141" s="100">
        <f t="shared" si="15"/>
        <v>269850</v>
      </c>
      <c r="K141" s="100">
        <f t="shared" si="16"/>
        <v>3242.88</v>
      </c>
      <c r="L141" s="52">
        <f t="shared" si="17"/>
        <v>273000</v>
      </c>
      <c r="M141" s="108">
        <f>Precios!J137</f>
        <v>264761.30000000005</v>
      </c>
      <c r="N141" s="100">
        <f t="shared" si="18"/>
        <v>8238.6999999999534</v>
      </c>
      <c r="O141" s="102">
        <f t="shared" si="19"/>
        <v>3.1117463163989421E-2</v>
      </c>
      <c r="P141" s="77">
        <f>IFERROR(L141/(Precios!D137+Precios!E137),"")</f>
        <v>1529.9345994989883</v>
      </c>
    </row>
    <row r="142" spans="1:16" x14ac:dyDescent="0.25">
      <c r="A142" s="92" t="str">
        <f>Lotes!A139</f>
        <v>D-059</v>
      </c>
      <c r="B142" s="93" t="str">
        <f>Lotes!B139</f>
        <v>T4</v>
      </c>
      <c r="C142" s="93" t="str">
        <f>Lotes!C139</f>
        <v>Fase 2</v>
      </c>
      <c r="D142" s="76">
        <f>Lotes!D139</f>
        <v>938.92</v>
      </c>
      <c r="E142" s="106">
        <f t="shared" ref="E142:E205" si="20">IFERROR(VLOOKUP(B142,$A$6:$E$10,3,0),"")</f>
        <v>600</v>
      </c>
      <c r="F142" s="71">
        <f t="shared" ref="F142:F205" si="21">IF(E142="","",MAX(0,D142-E142))</f>
        <v>338.91999999999996</v>
      </c>
      <c r="G142" s="71">
        <f t="shared" ref="G142:G205" si="22">IF(E142="","",MAX(0,E142-D142))</f>
        <v>0</v>
      </c>
      <c r="H142" s="100">
        <f t="shared" ref="H142:H205" si="23">IFERROR(VLOOKUP(B142,$A$6:$E$10,5,0),"")</f>
        <v>257000</v>
      </c>
      <c r="I142" s="107">
        <f>Lotes!J139</f>
        <v>-0.01</v>
      </c>
      <c r="J142" s="100">
        <f t="shared" ref="J142:J205" si="24">IF(H142="","",H142*(1+I142))</f>
        <v>254430</v>
      </c>
      <c r="K142" s="100">
        <f t="shared" ref="K142:K205" si="25">IF(E142="","",F142*$K$6-G142*$K$7)</f>
        <v>4067.0399999999995</v>
      </c>
      <c r="L142" s="52">
        <f t="shared" ref="L142:L205" si="26">IF(J142="","",ROUND((J142+K142)/$K$8,0)*$K$8)</f>
        <v>258000</v>
      </c>
      <c r="M142" s="108">
        <f>Precios!J138</f>
        <v>266821.7</v>
      </c>
      <c r="N142" s="100">
        <f t="shared" ref="N142:N205" si="27">IF(OR(L142="",M142=""),"",L142-M142)</f>
        <v>-8821.7000000000116</v>
      </c>
      <c r="O142" s="102">
        <f t="shared" ref="O142:O205" si="28">IFERROR(N142/M142,"")</f>
        <v>-3.3062153490514494E-2</v>
      </c>
      <c r="P142" s="77">
        <f>IFERROR(L142/(Precios!D138+Precios!E138),"")</f>
        <v>1445.8722588671758</v>
      </c>
    </row>
    <row r="143" spans="1:16" x14ac:dyDescent="0.25">
      <c r="A143" s="92" t="str">
        <f>Lotes!A140</f>
        <v>D-060</v>
      </c>
      <c r="B143" s="93" t="str">
        <f>Lotes!B140</f>
        <v>T4</v>
      </c>
      <c r="C143" s="93" t="str">
        <f>Lotes!C140</f>
        <v>Fase 2</v>
      </c>
      <c r="D143" s="76">
        <f>Lotes!D140</f>
        <v>731.57</v>
      </c>
      <c r="E143" s="106">
        <f t="shared" si="20"/>
        <v>600</v>
      </c>
      <c r="F143" s="71">
        <f t="shared" si="21"/>
        <v>131.57000000000005</v>
      </c>
      <c r="G143" s="71">
        <f t="shared" si="22"/>
        <v>0</v>
      </c>
      <c r="H143" s="100">
        <f t="shared" si="23"/>
        <v>257000</v>
      </c>
      <c r="I143" s="107">
        <f>Lotes!J140</f>
        <v>3.9999999999999994E-2</v>
      </c>
      <c r="J143" s="100">
        <f t="shared" si="24"/>
        <v>267280</v>
      </c>
      <c r="K143" s="100">
        <f t="shared" si="25"/>
        <v>1578.8400000000006</v>
      </c>
      <c r="L143" s="52">
        <f t="shared" si="26"/>
        <v>269000</v>
      </c>
      <c r="M143" s="108">
        <f>Precios!J139</f>
        <v>260601.2</v>
      </c>
      <c r="N143" s="100">
        <f t="shared" si="27"/>
        <v>8398.7999999999884</v>
      </c>
      <c r="O143" s="102">
        <f t="shared" si="28"/>
        <v>3.2228554588390183E-2</v>
      </c>
      <c r="P143" s="77">
        <f>IFERROR(L143/(Precios!D139+Precios!E139),"")</f>
        <v>1507.5179753305049</v>
      </c>
    </row>
    <row r="144" spans="1:16" x14ac:dyDescent="0.25">
      <c r="A144" s="92" t="str">
        <f>Lotes!A141</f>
        <v>D-061</v>
      </c>
      <c r="B144" s="93" t="str">
        <f>Lotes!B141</f>
        <v>T4</v>
      </c>
      <c r="C144" s="93" t="str">
        <f>Lotes!C141</f>
        <v>Fase 2</v>
      </c>
      <c r="D144" s="76">
        <f>Lotes!D141</f>
        <v>1222.1600000000001</v>
      </c>
      <c r="E144" s="106">
        <f t="shared" si="20"/>
        <v>600</v>
      </c>
      <c r="F144" s="71">
        <f t="shared" si="21"/>
        <v>622.16000000000008</v>
      </c>
      <c r="G144" s="71">
        <f t="shared" si="22"/>
        <v>0</v>
      </c>
      <c r="H144" s="100">
        <f t="shared" si="23"/>
        <v>257000</v>
      </c>
      <c r="I144" s="107">
        <f>Lotes!J141</f>
        <v>-0.04</v>
      </c>
      <c r="J144" s="100">
        <f t="shared" si="24"/>
        <v>246720</v>
      </c>
      <c r="K144" s="100">
        <f t="shared" si="25"/>
        <v>7465.920000000001</v>
      </c>
      <c r="L144" s="52">
        <f t="shared" si="26"/>
        <v>254000</v>
      </c>
      <c r="M144" s="108">
        <f>Precios!J140</f>
        <v>275318.90000000002</v>
      </c>
      <c r="N144" s="100">
        <f t="shared" si="27"/>
        <v>-21318.900000000023</v>
      </c>
      <c r="O144" s="102">
        <f t="shared" si="28"/>
        <v>-7.743347805036277E-2</v>
      </c>
      <c r="P144" s="77">
        <f>IFERROR(L144/(Precios!D140+Precios!E140),"")</f>
        <v>1423.4556346986924</v>
      </c>
    </row>
    <row r="145" spans="1:16" x14ac:dyDescent="0.25">
      <c r="A145" s="92" t="str">
        <f>Lotes!A142</f>
        <v>D-062</v>
      </c>
      <c r="B145" s="93" t="str">
        <f>Lotes!B142</f>
        <v>T4</v>
      </c>
      <c r="C145" s="93" t="str">
        <f>Lotes!C142</f>
        <v>Fase 2</v>
      </c>
      <c r="D145" s="76">
        <f>Lotes!D142</f>
        <v>810.64</v>
      </c>
      <c r="E145" s="106">
        <f t="shared" si="20"/>
        <v>600</v>
      </c>
      <c r="F145" s="71">
        <f t="shared" si="21"/>
        <v>210.64</v>
      </c>
      <c r="G145" s="71">
        <f t="shared" si="22"/>
        <v>0</v>
      </c>
      <c r="H145" s="100">
        <f t="shared" si="23"/>
        <v>257000</v>
      </c>
      <c r="I145" s="107">
        <f>Lotes!J142</f>
        <v>4.0000000000000008E-2</v>
      </c>
      <c r="J145" s="100">
        <f t="shared" si="24"/>
        <v>267280</v>
      </c>
      <c r="K145" s="100">
        <f t="shared" si="25"/>
        <v>2527.6799999999998</v>
      </c>
      <c r="L145" s="52">
        <f t="shared" si="26"/>
        <v>270000</v>
      </c>
      <c r="M145" s="108">
        <f>Precios!J141</f>
        <v>262973.30000000005</v>
      </c>
      <c r="N145" s="100">
        <f t="shared" si="27"/>
        <v>7026.6999999999534</v>
      </c>
      <c r="O145" s="102">
        <f t="shared" si="28"/>
        <v>2.6720203153704016E-2</v>
      </c>
      <c r="P145" s="77">
        <f>IFERROR(L145/(Precios!D141+Precios!E141),"")</f>
        <v>1513.1221313726257</v>
      </c>
    </row>
    <row r="146" spans="1:16" x14ac:dyDescent="0.25">
      <c r="A146" s="92" t="str">
        <f>Lotes!A143</f>
        <v>D-063</v>
      </c>
      <c r="B146" s="93" t="str">
        <f>Lotes!B143</f>
        <v>T4</v>
      </c>
      <c r="C146" s="93" t="str">
        <f>Lotes!C143</f>
        <v>Fase 2</v>
      </c>
      <c r="D146" s="76">
        <f>Lotes!D143</f>
        <v>1217.45</v>
      </c>
      <c r="E146" s="106">
        <f t="shared" si="20"/>
        <v>600</v>
      </c>
      <c r="F146" s="71">
        <f t="shared" si="21"/>
        <v>617.45000000000005</v>
      </c>
      <c r="G146" s="71">
        <f t="shared" si="22"/>
        <v>0</v>
      </c>
      <c r="H146" s="100">
        <f t="shared" si="23"/>
        <v>257000</v>
      </c>
      <c r="I146" s="107">
        <f>Lotes!J143</f>
        <v>0.11000000000000001</v>
      </c>
      <c r="J146" s="100">
        <f t="shared" si="24"/>
        <v>285270</v>
      </c>
      <c r="K146" s="100">
        <f t="shared" si="25"/>
        <v>7409.4000000000005</v>
      </c>
      <c r="L146" s="52">
        <f t="shared" si="26"/>
        <v>293000</v>
      </c>
      <c r="M146" s="108">
        <f>Precios!J142</f>
        <v>275177.60000000003</v>
      </c>
      <c r="N146" s="100">
        <f t="shared" si="27"/>
        <v>17822.399999999965</v>
      </c>
      <c r="O146" s="102">
        <f t="shared" si="28"/>
        <v>6.4766899631365213E-2</v>
      </c>
      <c r="P146" s="77">
        <f>IFERROR(L146/(Precios!D142+Precios!E142),"")</f>
        <v>1642.017720341405</v>
      </c>
    </row>
    <row r="147" spans="1:16" x14ac:dyDescent="0.25">
      <c r="A147" s="92" t="str">
        <f>Lotes!A144</f>
        <v>D-064</v>
      </c>
      <c r="B147" s="93" t="str">
        <f>Lotes!B144</f>
        <v>T4</v>
      </c>
      <c r="C147" s="93" t="str">
        <f>Lotes!C144</f>
        <v>Fase 2</v>
      </c>
      <c r="D147" s="76">
        <f>Lotes!D144</f>
        <v>1047.58</v>
      </c>
      <c r="E147" s="106">
        <f t="shared" si="20"/>
        <v>600</v>
      </c>
      <c r="F147" s="71">
        <f t="shared" si="21"/>
        <v>447.57999999999993</v>
      </c>
      <c r="G147" s="71">
        <f t="shared" si="22"/>
        <v>0</v>
      </c>
      <c r="H147" s="100">
        <f t="shared" si="23"/>
        <v>257000</v>
      </c>
      <c r="I147" s="107">
        <f>Lotes!J144</f>
        <v>0.01</v>
      </c>
      <c r="J147" s="100">
        <f t="shared" si="24"/>
        <v>259570</v>
      </c>
      <c r="K147" s="100">
        <f t="shared" si="25"/>
        <v>5370.9599999999991</v>
      </c>
      <c r="L147" s="52">
        <f t="shared" si="26"/>
        <v>265000</v>
      </c>
      <c r="M147" s="108">
        <f>Precios!J143</f>
        <v>270081.5</v>
      </c>
      <c r="N147" s="100">
        <f t="shared" si="27"/>
        <v>-5081.5</v>
      </c>
      <c r="O147" s="102">
        <f t="shared" si="28"/>
        <v>-1.8814691121013472E-2</v>
      </c>
      <c r="P147" s="77">
        <f>IFERROR(L147/(Precios!D143+Precios!E143),"")</f>
        <v>1485.1013511620215</v>
      </c>
    </row>
    <row r="148" spans="1:16" x14ac:dyDescent="0.25">
      <c r="A148" s="92" t="str">
        <f>Lotes!A145</f>
        <v>D-065</v>
      </c>
      <c r="B148" s="93" t="str">
        <f>Lotes!B145</f>
        <v>T4</v>
      </c>
      <c r="C148" s="93" t="str">
        <f>Lotes!C145</f>
        <v>Fase 2</v>
      </c>
      <c r="D148" s="76">
        <f>Lotes!D145</f>
        <v>1024.05</v>
      </c>
      <c r="E148" s="106">
        <f t="shared" si="20"/>
        <v>600</v>
      </c>
      <c r="F148" s="71">
        <f t="shared" si="21"/>
        <v>424.04999999999995</v>
      </c>
      <c r="G148" s="71">
        <f t="shared" si="22"/>
        <v>0</v>
      </c>
      <c r="H148" s="100">
        <f t="shared" si="23"/>
        <v>257000</v>
      </c>
      <c r="I148" s="107">
        <f>Lotes!J145</f>
        <v>-0.04</v>
      </c>
      <c r="J148" s="100">
        <f t="shared" si="24"/>
        <v>246720</v>
      </c>
      <c r="K148" s="100">
        <f t="shared" si="25"/>
        <v>5088.5999999999995</v>
      </c>
      <c r="L148" s="52">
        <f t="shared" si="26"/>
        <v>252000</v>
      </c>
      <c r="M148" s="108">
        <f>Precios!J144</f>
        <v>269375.60000000003</v>
      </c>
      <c r="N148" s="100">
        <f t="shared" si="27"/>
        <v>-17375.600000000035</v>
      </c>
      <c r="O148" s="102">
        <f t="shared" si="28"/>
        <v>-6.4503243797879362E-2</v>
      </c>
      <c r="P148" s="77">
        <f>IFERROR(L148/(Precios!D144+Precios!E144),"")</f>
        <v>1412.2473226144507</v>
      </c>
    </row>
    <row r="149" spans="1:16" x14ac:dyDescent="0.25">
      <c r="A149" s="92" t="str">
        <f>Lotes!A146</f>
        <v>D-066</v>
      </c>
      <c r="B149" s="93" t="str">
        <f>Lotes!B146</f>
        <v>T4</v>
      </c>
      <c r="C149" s="93" t="str">
        <f>Lotes!C146</f>
        <v>Fase 2</v>
      </c>
      <c r="D149" s="76">
        <f>Lotes!D146</f>
        <v>1305.94</v>
      </c>
      <c r="E149" s="106">
        <f t="shared" si="20"/>
        <v>600</v>
      </c>
      <c r="F149" s="71">
        <f t="shared" si="21"/>
        <v>705.94</v>
      </c>
      <c r="G149" s="71">
        <f t="shared" si="22"/>
        <v>0</v>
      </c>
      <c r="H149" s="100">
        <f t="shared" si="23"/>
        <v>257000</v>
      </c>
      <c r="I149" s="107">
        <f>Lotes!J146</f>
        <v>0.03</v>
      </c>
      <c r="J149" s="100">
        <f t="shared" si="24"/>
        <v>264710</v>
      </c>
      <c r="K149" s="100">
        <f t="shared" si="25"/>
        <v>8471.2800000000007</v>
      </c>
      <c r="L149" s="52">
        <f t="shared" si="26"/>
        <v>273000</v>
      </c>
      <c r="M149" s="108">
        <f>Precios!J145</f>
        <v>277832.30000000005</v>
      </c>
      <c r="N149" s="100">
        <f t="shared" si="27"/>
        <v>-4832.3000000000466</v>
      </c>
      <c r="O149" s="102">
        <f t="shared" si="28"/>
        <v>-1.7392866128236515E-2</v>
      </c>
      <c r="P149" s="77">
        <f>IFERROR(L149/(Precios!D145+Precios!E145),"")</f>
        <v>1529.9345994989883</v>
      </c>
    </row>
    <row r="150" spans="1:16" x14ac:dyDescent="0.25">
      <c r="A150" s="92" t="str">
        <f>Lotes!A147</f>
        <v>D-067</v>
      </c>
      <c r="B150" s="93" t="str">
        <f>Lotes!B147</f>
        <v>T4</v>
      </c>
      <c r="C150" s="93" t="str">
        <f>Lotes!C147</f>
        <v>Fase 2</v>
      </c>
      <c r="D150" s="76">
        <f>Lotes!D147</f>
        <v>1329.16</v>
      </c>
      <c r="E150" s="106">
        <f t="shared" si="20"/>
        <v>600</v>
      </c>
      <c r="F150" s="71">
        <f t="shared" si="21"/>
        <v>729.16000000000008</v>
      </c>
      <c r="G150" s="71">
        <f t="shared" si="22"/>
        <v>0</v>
      </c>
      <c r="H150" s="100">
        <f t="shared" si="23"/>
        <v>257000</v>
      </c>
      <c r="I150" s="107">
        <f>Lotes!J147</f>
        <v>0.03</v>
      </c>
      <c r="J150" s="100">
        <f t="shared" si="24"/>
        <v>264710</v>
      </c>
      <c r="K150" s="100">
        <f t="shared" si="25"/>
        <v>8749.9200000000019</v>
      </c>
      <c r="L150" s="52">
        <f t="shared" si="26"/>
        <v>273000</v>
      </c>
      <c r="M150" s="108">
        <f>Precios!J146</f>
        <v>278528.90000000002</v>
      </c>
      <c r="N150" s="100">
        <f t="shared" si="27"/>
        <v>-5528.9000000000233</v>
      </c>
      <c r="O150" s="102">
        <f t="shared" si="28"/>
        <v>-1.9850363822210271E-2</v>
      </c>
      <c r="P150" s="77">
        <f>IFERROR(L150/(Precios!D146+Precios!E146),"")</f>
        <v>1529.9345994989883</v>
      </c>
    </row>
    <row r="151" spans="1:16" x14ac:dyDescent="0.25">
      <c r="A151" s="92" t="str">
        <f>Lotes!A148</f>
        <v>D-068</v>
      </c>
      <c r="B151" s="93" t="str">
        <f>Lotes!B148</f>
        <v>T4</v>
      </c>
      <c r="C151" s="93" t="str">
        <f>Lotes!C148</f>
        <v>Fase 2</v>
      </c>
      <c r="D151" s="76">
        <f>Lotes!D148</f>
        <v>921.61</v>
      </c>
      <c r="E151" s="106">
        <f t="shared" si="20"/>
        <v>600</v>
      </c>
      <c r="F151" s="71">
        <f t="shared" si="21"/>
        <v>321.61</v>
      </c>
      <c r="G151" s="71">
        <f t="shared" si="22"/>
        <v>0</v>
      </c>
      <c r="H151" s="100">
        <f t="shared" si="23"/>
        <v>257000</v>
      </c>
      <c r="I151" s="107">
        <f>Lotes!J148</f>
        <v>9.9999999999999967E-3</v>
      </c>
      <c r="J151" s="100">
        <f t="shared" si="24"/>
        <v>259570</v>
      </c>
      <c r="K151" s="100">
        <f t="shared" si="25"/>
        <v>3859.32</v>
      </c>
      <c r="L151" s="52">
        <f t="shared" si="26"/>
        <v>263000</v>
      </c>
      <c r="M151" s="108">
        <f>Precios!J147</f>
        <v>266302.40000000002</v>
      </c>
      <c r="N151" s="100">
        <f t="shared" si="27"/>
        <v>-3302.4000000000233</v>
      </c>
      <c r="O151" s="102">
        <f t="shared" si="28"/>
        <v>-1.2400939683607894E-2</v>
      </c>
      <c r="P151" s="77">
        <f>IFERROR(L151/(Precios!D147+Precios!E147),"")</f>
        <v>1473.8930390777798</v>
      </c>
    </row>
    <row r="152" spans="1:16" x14ac:dyDescent="0.25">
      <c r="A152" s="92" t="str">
        <f>Lotes!A149</f>
        <v>D-069</v>
      </c>
      <c r="B152" s="93" t="str">
        <f>Lotes!B149</f>
        <v>T4</v>
      </c>
      <c r="C152" s="93" t="str">
        <f>Lotes!C149</f>
        <v>Fase 2</v>
      </c>
      <c r="D152" s="76">
        <f>Lotes!D149</f>
        <v>1124.3699999999999</v>
      </c>
      <c r="E152" s="106">
        <f t="shared" si="20"/>
        <v>600</v>
      </c>
      <c r="F152" s="71">
        <f t="shared" si="21"/>
        <v>524.36999999999989</v>
      </c>
      <c r="G152" s="71">
        <f t="shared" si="22"/>
        <v>0</v>
      </c>
      <c r="H152" s="100">
        <f t="shared" si="23"/>
        <v>257000</v>
      </c>
      <c r="I152" s="107">
        <f>Lotes!J149</f>
        <v>1.9999999999999997E-2</v>
      </c>
      <c r="J152" s="100">
        <f t="shared" si="24"/>
        <v>262140</v>
      </c>
      <c r="K152" s="100">
        <f t="shared" si="25"/>
        <v>6292.4399999999987</v>
      </c>
      <c r="L152" s="52">
        <f t="shared" si="26"/>
        <v>268000</v>
      </c>
      <c r="M152" s="108">
        <f>Precios!J148</f>
        <v>272385.2</v>
      </c>
      <c r="N152" s="100">
        <f t="shared" si="27"/>
        <v>-4385.2000000000116</v>
      </c>
      <c r="O152" s="102">
        <f t="shared" si="28"/>
        <v>-1.6099259431129193E-2</v>
      </c>
      <c r="P152" s="77">
        <f>IFERROR(L152/(Precios!D148+Precios!E148),"")</f>
        <v>1501.913819288384</v>
      </c>
    </row>
    <row r="153" spans="1:16" x14ac:dyDescent="0.25">
      <c r="A153" s="92" t="str">
        <f>Lotes!A150</f>
        <v>D-070</v>
      </c>
      <c r="B153" s="93" t="str">
        <f>Lotes!B150</f>
        <v>T4</v>
      </c>
      <c r="C153" s="93" t="str">
        <f>Lotes!C150</f>
        <v>Fase 2</v>
      </c>
      <c r="D153" s="76">
        <f>Lotes!D150</f>
        <v>848.1</v>
      </c>
      <c r="E153" s="106">
        <f t="shared" si="20"/>
        <v>600</v>
      </c>
      <c r="F153" s="71">
        <f t="shared" si="21"/>
        <v>248.10000000000002</v>
      </c>
      <c r="G153" s="71">
        <f t="shared" si="22"/>
        <v>0</v>
      </c>
      <c r="H153" s="100">
        <f t="shared" si="23"/>
        <v>257000</v>
      </c>
      <c r="I153" s="107">
        <f>Lotes!J150</f>
        <v>0.01</v>
      </c>
      <c r="J153" s="100">
        <f t="shared" si="24"/>
        <v>259570</v>
      </c>
      <c r="K153" s="100">
        <f t="shared" si="25"/>
        <v>2977.2000000000003</v>
      </c>
      <c r="L153" s="52">
        <f t="shared" si="26"/>
        <v>263000</v>
      </c>
      <c r="M153" s="108">
        <f>Precios!J149</f>
        <v>264097.10000000003</v>
      </c>
      <c r="N153" s="100">
        <f t="shared" si="27"/>
        <v>-1097.1000000000349</v>
      </c>
      <c r="O153" s="102">
        <f t="shared" si="28"/>
        <v>-4.1541539077863208E-3</v>
      </c>
      <c r="P153" s="77">
        <f>IFERROR(L153/(Precios!D149+Precios!E149),"")</f>
        <v>1473.8930390777798</v>
      </c>
    </row>
    <row r="154" spans="1:16" x14ac:dyDescent="0.25">
      <c r="A154" s="92" t="str">
        <f>Lotes!A151</f>
        <v>D-071</v>
      </c>
      <c r="B154" s="93" t="str">
        <f>Lotes!B151</f>
        <v>T4</v>
      </c>
      <c r="C154" s="93" t="str">
        <f>Lotes!C151</f>
        <v>Fase 2</v>
      </c>
      <c r="D154" s="76">
        <f>Lotes!D151</f>
        <v>1354.81</v>
      </c>
      <c r="E154" s="106">
        <f t="shared" si="20"/>
        <v>600</v>
      </c>
      <c r="F154" s="71">
        <f t="shared" si="21"/>
        <v>754.81</v>
      </c>
      <c r="G154" s="71">
        <f t="shared" si="22"/>
        <v>0</v>
      </c>
      <c r="H154" s="100">
        <f t="shared" si="23"/>
        <v>257000</v>
      </c>
      <c r="I154" s="107">
        <f>Lotes!J151</f>
        <v>7.0000000000000007E-2</v>
      </c>
      <c r="J154" s="100">
        <f t="shared" si="24"/>
        <v>274990</v>
      </c>
      <c r="K154" s="100">
        <f t="shared" si="25"/>
        <v>9057.7199999999993</v>
      </c>
      <c r="L154" s="52">
        <f t="shared" si="26"/>
        <v>284000</v>
      </c>
      <c r="M154" s="108">
        <f>Precios!J150</f>
        <v>279298.40000000002</v>
      </c>
      <c r="N154" s="100">
        <f t="shared" si="27"/>
        <v>4701.5999999999767</v>
      </c>
      <c r="O154" s="102">
        <f t="shared" si="28"/>
        <v>1.6833608785442294E-2</v>
      </c>
      <c r="P154" s="77">
        <f>IFERROR(L154/(Precios!D150+Precios!E150),"")</f>
        <v>1591.5803159623174</v>
      </c>
    </row>
    <row r="155" spans="1:16" x14ac:dyDescent="0.25">
      <c r="A155" s="92" t="str">
        <f>Lotes!A152</f>
        <v>D-072</v>
      </c>
      <c r="B155" s="93" t="str">
        <f>Lotes!B152</f>
        <v>T4</v>
      </c>
      <c r="C155" s="93" t="str">
        <f>Lotes!C152</f>
        <v>Fase 2</v>
      </c>
      <c r="D155" s="76">
        <f>Lotes!D152</f>
        <v>990.91</v>
      </c>
      <c r="E155" s="106">
        <f t="shared" si="20"/>
        <v>600</v>
      </c>
      <c r="F155" s="71">
        <f t="shared" si="21"/>
        <v>390.90999999999997</v>
      </c>
      <c r="G155" s="71">
        <f t="shared" si="22"/>
        <v>0</v>
      </c>
      <c r="H155" s="100">
        <f t="shared" si="23"/>
        <v>257000</v>
      </c>
      <c r="I155" s="107">
        <f>Lotes!J152</f>
        <v>1.9999999999999997E-2</v>
      </c>
      <c r="J155" s="100">
        <f t="shared" si="24"/>
        <v>262140</v>
      </c>
      <c r="K155" s="100">
        <f t="shared" si="25"/>
        <v>4690.92</v>
      </c>
      <c r="L155" s="52">
        <f t="shared" si="26"/>
        <v>267000</v>
      </c>
      <c r="M155" s="108">
        <f>Precios!J151</f>
        <v>268381.40000000002</v>
      </c>
      <c r="N155" s="100">
        <f t="shared" si="27"/>
        <v>-1381.4000000000233</v>
      </c>
      <c r="O155" s="102">
        <f t="shared" si="28"/>
        <v>-5.147152522492331E-3</v>
      </c>
      <c r="P155" s="77">
        <f>IFERROR(L155/(Precios!D151+Precios!E151),"")</f>
        <v>1496.3096632462632</v>
      </c>
    </row>
    <row r="156" spans="1:16" x14ac:dyDescent="0.25">
      <c r="A156" s="92" t="str">
        <f>Lotes!A153</f>
        <v>D-073</v>
      </c>
      <c r="B156" s="93" t="str">
        <f>Lotes!B153</f>
        <v>T4</v>
      </c>
      <c r="C156" s="93" t="str">
        <f>Lotes!C153</f>
        <v>Fase 2</v>
      </c>
      <c r="D156" s="76">
        <f>Lotes!D153</f>
        <v>999.81</v>
      </c>
      <c r="E156" s="106">
        <f t="shared" si="20"/>
        <v>600</v>
      </c>
      <c r="F156" s="71">
        <f t="shared" si="21"/>
        <v>399.80999999999995</v>
      </c>
      <c r="G156" s="71">
        <f t="shared" si="22"/>
        <v>0</v>
      </c>
      <c r="H156" s="100">
        <f t="shared" si="23"/>
        <v>257000</v>
      </c>
      <c r="I156" s="107">
        <f>Lotes!J153</f>
        <v>0.12000000000000001</v>
      </c>
      <c r="J156" s="100">
        <f t="shared" si="24"/>
        <v>287840</v>
      </c>
      <c r="K156" s="100">
        <f t="shared" si="25"/>
        <v>4797.7199999999993</v>
      </c>
      <c r="L156" s="52">
        <f t="shared" si="26"/>
        <v>293000</v>
      </c>
      <c r="M156" s="108">
        <f>Precios!J152</f>
        <v>268648.40000000002</v>
      </c>
      <c r="N156" s="100">
        <f t="shared" si="27"/>
        <v>24351.599999999977</v>
      </c>
      <c r="O156" s="102">
        <f t="shared" si="28"/>
        <v>9.0644872629057072E-2</v>
      </c>
      <c r="P156" s="77">
        <f>IFERROR(L156/(Precios!D152+Precios!E152),"")</f>
        <v>1642.017720341405</v>
      </c>
    </row>
    <row r="157" spans="1:16" x14ac:dyDescent="0.25">
      <c r="A157" s="92" t="str">
        <f>Lotes!A154</f>
        <v>D-074</v>
      </c>
      <c r="B157" s="93" t="str">
        <f>Lotes!B154</f>
        <v>T4</v>
      </c>
      <c r="C157" s="93" t="str">
        <f>Lotes!C154</f>
        <v>Fase 2</v>
      </c>
      <c r="D157" s="76">
        <f>Lotes!D154</f>
        <v>772.56</v>
      </c>
      <c r="E157" s="106">
        <f t="shared" si="20"/>
        <v>600</v>
      </c>
      <c r="F157" s="71">
        <f t="shared" si="21"/>
        <v>172.55999999999995</v>
      </c>
      <c r="G157" s="71">
        <f t="shared" si="22"/>
        <v>0</v>
      </c>
      <c r="H157" s="100">
        <f t="shared" si="23"/>
        <v>257000</v>
      </c>
      <c r="I157" s="107">
        <f>Lotes!J154</f>
        <v>0.02</v>
      </c>
      <c r="J157" s="100">
        <f t="shared" si="24"/>
        <v>262140</v>
      </c>
      <c r="K157" s="100">
        <f t="shared" si="25"/>
        <v>2070.7199999999993</v>
      </c>
      <c r="L157" s="52">
        <f t="shared" si="26"/>
        <v>264000</v>
      </c>
      <c r="M157" s="108">
        <f>Precios!J153</f>
        <v>261830.9</v>
      </c>
      <c r="N157" s="100">
        <f t="shared" si="27"/>
        <v>2169.1000000000058</v>
      </c>
      <c r="O157" s="102">
        <f t="shared" si="28"/>
        <v>8.2843545204175899E-3</v>
      </c>
      <c r="P157" s="77">
        <f>IFERROR(L157/(Precios!D153+Precios!E153),"")</f>
        <v>1479.4971951199007</v>
      </c>
    </row>
    <row r="158" spans="1:16" x14ac:dyDescent="0.25">
      <c r="A158" s="92" t="str">
        <f>Lotes!A155</f>
        <v>D-075</v>
      </c>
      <c r="B158" s="93" t="str">
        <f>Lotes!B155</f>
        <v>T4</v>
      </c>
      <c r="C158" s="93" t="str">
        <f>Lotes!C155</f>
        <v>Fase 2</v>
      </c>
      <c r="D158" s="76">
        <f>Lotes!D155</f>
        <v>727.66</v>
      </c>
      <c r="E158" s="106">
        <f t="shared" si="20"/>
        <v>600</v>
      </c>
      <c r="F158" s="71">
        <f t="shared" si="21"/>
        <v>127.65999999999997</v>
      </c>
      <c r="G158" s="71">
        <f t="shared" si="22"/>
        <v>0</v>
      </c>
      <c r="H158" s="100">
        <f t="shared" si="23"/>
        <v>257000</v>
      </c>
      <c r="I158" s="107">
        <f>Lotes!J155</f>
        <v>1.0000000000000004E-2</v>
      </c>
      <c r="J158" s="100">
        <f t="shared" si="24"/>
        <v>259570</v>
      </c>
      <c r="K158" s="100">
        <f t="shared" si="25"/>
        <v>1531.9199999999996</v>
      </c>
      <c r="L158" s="52">
        <f t="shared" si="26"/>
        <v>261000</v>
      </c>
      <c r="M158" s="108">
        <f>Precios!J154</f>
        <v>260483.9</v>
      </c>
      <c r="N158" s="100">
        <f t="shared" si="27"/>
        <v>516.10000000000582</v>
      </c>
      <c r="O158" s="102">
        <f t="shared" si="28"/>
        <v>1.9813124726710779E-3</v>
      </c>
      <c r="P158" s="77">
        <f>IFERROR(L158/(Precios!D154+Precios!E154),"")</f>
        <v>1462.6847269935383</v>
      </c>
    </row>
    <row r="159" spans="1:16" x14ac:dyDescent="0.25">
      <c r="A159" s="92" t="str">
        <f>Lotes!A156</f>
        <v>D-076</v>
      </c>
      <c r="B159" s="93" t="str">
        <f>Lotes!B156</f>
        <v>T4</v>
      </c>
      <c r="C159" s="93" t="str">
        <f>Lotes!C156</f>
        <v>Fase 2</v>
      </c>
      <c r="D159" s="76">
        <f>Lotes!D156</f>
        <v>839.45</v>
      </c>
      <c r="E159" s="106">
        <f t="shared" si="20"/>
        <v>600</v>
      </c>
      <c r="F159" s="71">
        <f t="shared" si="21"/>
        <v>239.45000000000005</v>
      </c>
      <c r="G159" s="71">
        <f t="shared" si="22"/>
        <v>0</v>
      </c>
      <c r="H159" s="100">
        <f t="shared" si="23"/>
        <v>257000</v>
      </c>
      <c r="I159" s="107">
        <f>Lotes!J156</f>
        <v>1.9999999999999997E-2</v>
      </c>
      <c r="J159" s="100">
        <f t="shared" si="24"/>
        <v>262140</v>
      </c>
      <c r="K159" s="100">
        <f t="shared" si="25"/>
        <v>2873.4000000000005</v>
      </c>
      <c r="L159" s="52">
        <f t="shared" si="26"/>
        <v>265000</v>
      </c>
      <c r="M159" s="108">
        <f>Precios!J155</f>
        <v>263837.60000000003</v>
      </c>
      <c r="N159" s="100">
        <f t="shared" si="27"/>
        <v>1162.3999999999651</v>
      </c>
      <c r="O159" s="102">
        <f t="shared" si="28"/>
        <v>4.4057405009747088E-3</v>
      </c>
      <c r="P159" s="77">
        <f>IFERROR(L159/(Precios!D155+Precios!E155),"")</f>
        <v>1485.1013511620215</v>
      </c>
    </row>
    <row r="160" spans="1:16" x14ac:dyDescent="0.25">
      <c r="A160" s="92" t="str">
        <f>Lotes!A157</f>
        <v>D-077</v>
      </c>
      <c r="B160" s="93" t="str">
        <f>Lotes!B157</f>
        <v>T4</v>
      </c>
      <c r="C160" s="93" t="str">
        <f>Lotes!C157</f>
        <v>Fase 2</v>
      </c>
      <c r="D160" s="76">
        <f>Lotes!D157</f>
        <v>693.48</v>
      </c>
      <c r="E160" s="106">
        <f t="shared" si="20"/>
        <v>600</v>
      </c>
      <c r="F160" s="71">
        <f t="shared" si="21"/>
        <v>93.480000000000018</v>
      </c>
      <c r="G160" s="71">
        <f t="shared" si="22"/>
        <v>0</v>
      </c>
      <c r="H160" s="100">
        <f t="shared" si="23"/>
        <v>257000</v>
      </c>
      <c r="I160" s="107">
        <f>Lotes!J157</f>
        <v>0</v>
      </c>
      <c r="J160" s="100">
        <f t="shared" si="24"/>
        <v>257000</v>
      </c>
      <c r="K160" s="100">
        <f t="shared" si="25"/>
        <v>1121.7600000000002</v>
      </c>
      <c r="L160" s="52">
        <f t="shared" si="26"/>
        <v>258000</v>
      </c>
      <c r="M160" s="108">
        <f>Precios!J156</f>
        <v>259458.5</v>
      </c>
      <c r="N160" s="100">
        <f t="shared" si="27"/>
        <v>-1458.5</v>
      </c>
      <c r="O160" s="102">
        <f t="shared" si="28"/>
        <v>-5.621322870516865E-3</v>
      </c>
      <c r="P160" s="77">
        <f>IFERROR(L160/(Precios!D156+Precios!E156),"")</f>
        <v>1445.8722588671758</v>
      </c>
    </row>
    <row r="161" spans="1:16" x14ac:dyDescent="0.25">
      <c r="A161" s="92" t="str">
        <f>Lotes!A158</f>
        <v>D-078</v>
      </c>
      <c r="B161" s="93" t="str">
        <f>Lotes!B158</f>
        <v>T4</v>
      </c>
      <c r="C161" s="93" t="str">
        <f>Lotes!C158</f>
        <v>Fase 2</v>
      </c>
      <c r="D161" s="76">
        <f>Lotes!D158</f>
        <v>863.42</v>
      </c>
      <c r="E161" s="106">
        <f t="shared" si="20"/>
        <v>600</v>
      </c>
      <c r="F161" s="71">
        <f t="shared" si="21"/>
        <v>263.41999999999996</v>
      </c>
      <c r="G161" s="71">
        <f t="shared" si="22"/>
        <v>0</v>
      </c>
      <c r="H161" s="100">
        <f t="shared" si="23"/>
        <v>257000</v>
      </c>
      <c r="I161" s="107">
        <f>Lotes!J158</f>
        <v>1.9999999999999997E-2</v>
      </c>
      <c r="J161" s="100">
        <f t="shared" si="24"/>
        <v>262140</v>
      </c>
      <c r="K161" s="100">
        <f t="shared" si="25"/>
        <v>3161.0399999999995</v>
      </c>
      <c r="L161" s="52">
        <f t="shared" si="26"/>
        <v>265000</v>
      </c>
      <c r="M161" s="108">
        <f>Precios!J157</f>
        <v>264556.7</v>
      </c>
      <c r="N161" s="100">
        <f t="shared" si="27"/>
        <v>443.29999999998836</v>
      </c>
      <c r="O161" s="102">
        <f t="shared" si="28"/>
        <v>1.675633238545795E-3</v>
      </c>
      <c r="P161" s="77">
        <f>IFERROR(L161/(Precios!D157+Precios!E157),"")</f>
        <v>1485.1013511620215</v>
      </c>
    </row>
    <row r="162" spans="1:16" x14ac:dyDescent="0.25">
      <c r="A162" s="92" t="str">
        <f>Lotes!A159</f>
        <v>D-079</v>
      </c>
      <c r="B162" s="93" t="str">
        <f>Lotes!B159</f>
        <v>T4</v>
      </c>
      <c r="C162" s="93" t="str">
        <f>Lotes!C159</f>
        <v>Fase 2</v>
      </c>
      <c r="D162" s="76">
        <f>Lotes!D159</f>
        <v>1029.3699999999999</v>
      </c>
      <c r="E162" s="106">
        <f t="shared" si="20"/>
        <v>600</v>
      </c>
      <c r="F162" s="71">
        <f t="shared" si="21"/>
        <v>429.36999999999989</v>
      </c>
      <c r="G162" s="71">
        <f t="shared" si="22"/>
        <v>0</v>
      </c>
      <c r="H162" s="100">
        <f t="shared" si="23"/>
        <v>257000</v>
      </c>
      <c r="I162" s="107">
        <f>Lotes!J159</f>
        <v>4.0000000000000008E-2</v>
      </c>
      <c r="J162" s="100">
        <f t="shared" si="24"/>
        <v>267280</v>
      </c>
      <c r="K162" s="100">
        <f t="shared" si="25"/>
        <v>5152.4399999999987</v>
      </c>
      <c r="L162" s="52">
        <f t="shared" si="26"/>
        <v>272000</v>
      </c>
      <c r="M162" s="108">
        <f>Precios!J158</f>
        <v>269535.2</v>
      </c>
      <c r="N162" s="100">
        <f t="shared" si="27"/>
        <v>2464.7999999999884</v>
      </c>
      <c r="O162" s="102">
        <f t="shared" si="28"/>
        <v>9.144631202158339E-3</v>
      </c>
      <c r="P162" s="77">
        <f>IFERROR(L162/(Precios!D158+Precios!E158),"")</f>
        <v>1524.3304434568674</v>
      </c>
    </row>
    <row r="163" spans="1:16" x14ac:dyDescent="0.25">
      <c r="A163" s="92" t="str">
        <f>Lotes!A160</f>
        <v>D-080</v>
      </c>
      <c r="B163" s="93" t="str">
        <f>Lotes!B160</f>
        <v>T4</v>
      </c>
      <c r="C163" s="93" t="str">
        <f>Lotes!C160</f>
        <v>Fase 2</v>
      </c>
      <c r="D163" s="76">
        <f>Lotes!D160</f>
        <v>716.35</v>
      </c>
      <c r="E163" s="106">
        <f t="shared" si="20"/>
        <v>600</v>
      </c>
      <c r="F163" s="71">
        <f t="shared" si="21"/>
        <v>116.35000000000002</v>
      </c>
      <c r="G163" s="71">
        <f t="shared" si="22"/>
        <v>0</v>
      </c>
      <c r="H163" s="100">
        <f t="shared" si="23"/>
        <v>257000</v>
      </c>
      <c r="I163" s="107">
        <f>Lotes!J160</f>
        <v>0.05</v>
      </c>
      <c r="J163" s="100">
        <f t="shared" si="24"/>
        <v>269850</v>
      </c>
      <c r="K163" s="100">
        <f t="shared" si="25"/>
        <v>1396.2000000000003</v>
      </c>
      <c r="L163" s="52">
        <f t="shared" si="26"/>
        <v>271000</v>
      </c>
      <c r="M163" s="108">
        <f>Precios!J159</f>
        <v>260144.6</v>
      </c>
      <c r="N163" s="100">
        <f t="shared" si="27"/>
        <v>10855.399999999994</v>
      </c>
      <c r="O163" s="102">
        <f t="shared" si="28"/>
        <v>4.1728331089709317E-2</v>
      </c>
      <c r="P163" s="77">
        <f>IFERROR(L163/(Precios!D159+Precios!E159),"")</f>
        <v>1518.7262874147466</v>
      </c>
    </row>
    <row r="164" spans="1:16" x14ac:dyDescent="0.25">
      <c r="A164" s="92" t="str">
        <f>Lotes!A161</f>
        <v>D-081</v>
      </c>
      <c r="B164" s="93" t="str">
        <f>Lotes!B161</f>
        <v>T4</v>
      </c>
      <c r="C164" s="93" t="str">
        <f>Lotes!C161</f>
        <v>Fase 2</v>
      </c>
      <c r="D164" s="76">
        <f>Lotes!D161</f>
        <v>699.55</v>
      </c>
      <c r="E164" s="106">
        <f t="shared" si="20"/>
        <v>600</v>
      </c>
      <c r="F164" s="71">
        <f t="shared" si="21"/>
        <v>99.549999999999955</v>
      </c>
      <c r="G164" s="71">
        <f t="shared" si="22"/>
        <v>0</v>
      </c>
      <c r="H164" s="100">
        <f t="shared" si="23"/>
        <v>257000</v>
      </c>
      <c r="I164" s="107">
        <f>Lotes!J161</f>
        <v>0.03</v>
      </c>
      <c r="J164" s="100">
        <f t="shared" si="24"/>
        <v>264710</v>
      </c>
      <c r="K164" s="100">
        <f t="shared" si="25"/>
        <v>1194.5999999999995</v>
      </c>
      <c r="L164" s="52">
        <f t="shared" si="26"/>
        <v>266000</v>
      </c>
      <c r="M164" s="108">
        <f>Precios!J160</f>
        <v>259640.6</v>
      </c>
      <c r="N164" s="100">
        <f t="shared" si="27"/>
        <v>6359.3999999999942</v>
      </c>
      <c r="O164" s="102">
        <f t="shared" si="28"/>
        <v>2.4493087752839864E-2</v>
      </c>
      <c r="P164" s="77">
        <f>IFERROR(L164/(Precios!D160+Precios!E160),"")</f>
        <v>1490.7055072041424</v>
      </c>
    </row>
    <row r="165" spans="1:16" x14ac:dyDescent="0.25">
      <c r="A165" s="92" t="str">
        <f>Lotes!A162</f>
        <v>D-082</v>
      </c>
      <c r="B165" s="93" t="str">
        <f>Lotes!B162</f>
        <v>T4</v>
      </c>
      <c r="C165" s="93" t="str">
        <f>Lotes!C162</f>
        <v>Fase 2</v>
      </c>
      <c r="D165" s="76">
        <f>Lotes!D162</f>
        <v>762.09</v>
      </c>
      <c r="E165" s="106">
        <f t="shared" si="20"/>
        <v>600</v>
      </c>
      <c r="F165" s="71">
        <f t="shared" si="21"/>
        <v>162.09000000000003</v>
      </c>
      <c r="G165" s="71">
        <f t="shared" si="22"/>
        <v>0</v>
      </c>
      <c r="H165" s="100">
        <f t="shared" si="23"/>
        <v>257000</v>
      </c>
      <c r="I165" s="107">
        <f>Lotes!J162</f>
        <v>0.06</v>
      </c>
      <c r="J165" s="100">
        <f t="shared" si="24"/>
        <v>272420</v>
      </c>
      <c r="K165" s="100">
        <f t="shared" si="25"/>
        <v>1945.0800000000004</v>
      </c>
      <c r="L165" s="52">
        <f t="shared" si="26"/>
        <v>274000</v>
      </c>
      <c r="M165" s="108">
        <f>Precios!J161</f>
        <v>261516.80000000002</v>
      </c>
      <c r="N165" s="100">
        <f t="shared" si="27"/>
        <v>12483.199999999983</v>
      </c>
      <c r="O165" s="102">
        <f t="shared" si="28"/>
        <v>4.7733835837697546E-2</v>
      </c>
      <c r="P165" s="77">
        <f>IFERROR(L165/(Precios!D161+Precios!E161),"")</f>
        <v>1535.5387555411091</v>
      </c>
    </row>
    <row r="166" spans="1:16" x14ac:dyDescent="0.25">
      <c r="A166" s="92" t="str">
        <f>Lotes!A163</f>
        <v>D-083</v>
      </c>
      <c r="B166" s="93" t="str">
        <f>Lotes!B163</f>
        <v>T4</v>
      </c>
      <c r="C166" s="93" t="str">
        <f>Lotes!C163</f>
        <v>Fase 2</v>
      </c>
      <c r="D166" s="76">
        <f>Lotes!D163</f>
        <v>676.39</v>
      </c>
      <c r="E166" s="106">
        <f t="shared" si="20"/>
        <v>600</v>
      </c>
      <c r="F166" s="71">
        <f t="shared" si="21"/>
        <v>76.389999999999986</v>
      </c>
      <c r="G166" s="71">
        <f t="shared" si="22"/>
        <v>0</v>
      </c>
      <c r="H166" s="100">
        <f t="shared" si="23"/>
        <v>257000</v>
      </c>
      <c r="I166" s="107">
        <f>Lotes!J163</f>
        <v>9.0000000000000011E-2</v>
      </c>
      <c r="J166" s="100">
        <f t="shared" si="24"/>
        <v>280130</v>
      </c>
      <c r="K166" s="100">
        <f t="shared" si="25"/>
        <v>916.67999999999984</v>
      </c>
      <c r="L166" s="52">
        <f t="shared" si="26"/>
        <v>281000</v>
      </c>
      <c r="M166" s="108">
        <f>Precios!J162</f>
        <v>258945.80000000002</v>
      </c>
      <c r="N166" s="100">
        <f t="shared" si="27"/>
        <v>22054.199999999983</v>
      </c>
      <c r="O166" s="102">
        <f t="shared" si="28"/>
        <v>8.5169174398657871E-2</v>
      </c>
      <c r="P166" s="77">
        <f>IFERROR(L166/(Precios!D162+Precios!E162),"")</f>
        <v>1574.7678478359549</v>
      </c>
    </row>
    <row r="167" spans="1:16" x14ac:dyDescent="0.25">
      <c r="A167" s="92" t="str">
        <f>Lotes!A164</f>
        <v>D-084</v>
      </c>
      <c r="B167" s="93" t="str">
        <f>Lotes!B164</f>
        <v>T4</v>
      </c>
      <c r="C167" s="93" t="str">
        <f>Lotes!C164</f>
        <v>Fase 2</v>
      </c>
      <c r="D167" s="76">
        <f>Lotes!D164</f>
        <v>950.44</v>
      </c>
      <c r="E167" s="106">
        <f t="shared" si="20"/>
        <v>600</v>
      </c>
      <c r="F167" s="71">
        <f t="shared" si="21"/>
        <v>350.44000000000005</v>
      </c>
      <c r="G167" s="71">
        <f t="shared" si="22"/>
        <v>0</v>
      </c>
      <c r="H167" s="100">
        <f t="shared" si="23"/>
        <v>257000</v>
      </c>
      <c r="I167" s="107">
        <f>Lotes!J164</f>
        <v>0.05</v>
      </c>
      <c r="J167" s="100">
        <f t="shared" si="24"/>
        <v>269850</v>
      </c>
      <c r="K167" s="100">
        <f t="shared" si="25"/>
        <v>4205.2800000000007</v>
      </c>
      <c r="L167" s="52">
        <f t="shared" si="26"/>
        <v>274000</v>
      </c>
      <c r="M167" s="108">
        <f>Precios!J163</f>
        <v>267167.30000000005</v>
      </c>
      <c r="N167" s="100">
        <f t="shared" si="27"/>
        <v>6832.6999999999534</v>
      </c>
      <c r="O167" s="102">
        <f t="shared" si="28"/>
        <v>2.5574611863053421E-2</v>
      </c>
      <c r="P167" s="77">
        <f>IFERROR(L167/(Precios!D163+Precios!E163),"")</f>
        <v>1535.5387555411091</v>
      </c>
    </row>
    <row r="168" spans="1:16" x14ac:dyDescent="0.25">
      <c r="A168" s="92" t="str">
        <f>Lotes!A165</f>
        <v>E-001</v>
      </c>
      <c r="B168" s="93" t="str">
        <f>Lotes!B165</f>
        <v>T5</v>
      </c>
      <c r="C168" s="93" t="str">
        <f>Lotes!C165</f>
        <v>Fase 1</v>
      </c>
      <c r="D168" s="76">
        <f>Lotes!D165</f>
        <v>526.04</v>
      </c>
      <c r="E168" s="106">
        <f t="shared" si="20"/>
        <v>600</v>
      </c>
      <c r="F168" s="71">
        <f t="shared" si="21"/>
        <v>0</v>
      </c>
      <c r="G168" s="71">
        <f t="shared" si="22"/>
        <v>73.960000000000036</v>
      </c>
      <c r="H168" s="100">
        <f t="shared" si="23"/>
        <v>329000</v>
      </c>
      <c r="I168" s="107">
        <f>Lotes!J165</f>
        <v>1.9999999999999997E-2</v>
      </c>
      <c r="J168" s="100">
        <f t="shared" si="24"/>
        <v>335580</v>
      </c>
      <c r="K168" s="100">
        <f t="shared" si="25"/>
        <v>0</v>
      </c>
      <c r="L168" s="52">
        <f t="shared" si="26"/>
        <v>336000</v>
      </c>
      <c r="M168" s="108">
        <f>Precios!J164</f>
        <v>326935.80000000005</v>
      </c>
      <c r="N168" s="100">
        <f t="shared" si="27"/>
        <v>9064.1999999999534</v>
      </c>
      <c r="O168" s="102">
        <f t="shared" si="28"/>
        <v>2.7724709254844382E-2</v>
      </c>
      <c r="P168" s="77">
        <f>IFERROR(L168/(Precios!D164+Precios!E164),"")</f>
        <v>1516.4234070784478</v>
      </c>
    </row>
    <row r="169" spans="1:16" x14ac:dyDescent="0.25">
      <c r="A169" s="92" t="str">
        <f>Lotes!A166</f>
        <v>E-002</v>
      </c>
      <c r="B169" s="93" t="str">
        <f>Lotes!B166</f>
        <v>T5</v>
      </c>
      <c r="C169" s="93" t="str">
        <f>Lotes!C166</f>
        <v>Fase 1</v>
      </c>
      <c r="D169" s="76">
        <f>Lotes!D166</f>
        <v>570.59</v>
      </c>
      <c r="E169" s="106">
        <f t="shared" si="20"/>
        <v>600</v>
      </c>
      <c r="F169" s="71">
        <f t="shared" si="21"/>
        <v>0</v>
      </c>
      <c r="G169" s="71">
        <f t="shared" si="22"/>
        <v>29.409999999999968</v>
      </c>
      <c r="H169" s="100">
        <f t="shared" si="23"/>
        <v>329000</v>
      </c>
      <c r="I169" s="107">
        <f>Lotes!J166</f>
        <v>0.04</v>
      </c>
      <c r="J169" s="100">
        <f t="shared" si="24"/>
        <v>342160</v>
      </c>
      <c r="K169" s="100">
        <f t="shared" si="25"/>
        <v>0</v>
      </c>
      <c r="L169" s="52">
        <f t="shared" si="26"/>
        <v>342000</v>
      </c>
      <c r="M169" s="108">
        <f>Precios!J165</f>
        <v>328272.30000000005</v>
      </c>
      <c r="N169" s="100">
        <f t="shared" si="27"/>
        <v>13727.699999999953</v>
      </c>
      <c r="O169" s="102">
        <f t="shared" si="28"/>
        <v>4.1818027290148913E-2</v>
      </c>
      <c r="P169" s="77">
        <f>IFERROR(L169/(Precios!D165+Precios!E165),"")</f>
        <v>1543.5023964905629</v>
      </c>
    </row>
    <row r="170" spans="1:16" x14ac:dyDescent="0.25">
      <c r="A170" s="92" t="str">
        <f>Lotes!A167</f>
        <v>E-003</v>
      </c>
      <c r="B170" s="93" t="str">
        <f>Lotes!B167</f>
        <v>T5</v>
      </c>
      <c r="C170" s="93" t="str">
        <f>Lotes!C167</f>
        <v>Fase 1</v>
      </c>
      <c r="D170" s="76">
        <f>Lotes!D167</f>
        <v>573.53</v>
      </c>
      <c r="E170" s="106">
        <f t="shared" si="20"/>
        <v>600</v>
      </c>
      <c r="F170" s="71">
        <f t="shared" si="21"/>
        <v>0</v>
      </c>
      <c r="G170" s="71">
        <f t="shared" si="22"/>
        <v>26.470000000000027</v>
      </c>
      <c r="H170" s="100">
        <f t="shared" si="23"/>
        <v>329000</v>
      </c>
      <c r="I170" s="107">
        <f>Lotes!J167</f>
        <v>1.0000000000000004E-2</v>
      </c>
      <c r="J170" s="100">
        <f t="shared" si="24"/>
        <v>332290</v>
      </c>
      <c r="K170" s="100">
        <f t="shared" si="25"/>
        <v>0</v>
      </c>
      <c r="L170" s="52">
        <f t="shared" si="26"/>
        <v>332000</v>
      </c>
      <c r="M170" s="108">
        <f>Precios!J166</f>
        <v>328360.50000000006</v>
      </c>
      <c r="N170" s="100">
        <f t="shared" si="27"/>
        <v>3639.4999999999418</v>
      </c>
      <c r="O170" s="102">
        <f t="shared" si="28"/>
        <v>1.108385448310604E-2</v>
      </c>
      <c r="P170" s="77">
        <f>IFERROR(L170/(Precios!D166+Precios!E166),"")</f>
        <v>1498.370747470371</v>
      </c>
    </row>
    <row r="171" spans="1:16" x14ac:dyDescent="0.25">
      <c r="A171" s="92" t="str">
        <f>Lotes!A168</f>
        <v>E-004</v>
      </c>
      <c r="B171" s="93" t="str">
        <f>Lotes!B168</f>
        <v>T5</v>
      </c>
      <c r="C171" s="93" t="str">
        <f>Lotes!C168</f>
        <v>Fase 1</v>
      </c>
      <c r="D171" s="76">
        <f>Lotes!D168</f>
        <v>756.24</v>
      </c>
      <c r="E171" s="106">
        <f t="shared" si="20"/>
        <v>600</v>
      </c>
      <c r="F171" s="71">
        <f t="shared" si="21"/>
        <v>156.24</v>
      </c>
      <c r="G171" s="71">
        <f t="shared" si="22"/>
        <v>0</v>
      </c>
      <c r="H171" s="100">
        <f t="shared" si="23"/>
        <v>329000</v>
      </c>
      <c r="I171" s="107">
        <f>Lotes!J168</f>
        <v>-0.05</v>
      </c>
      <c r="J171" s="100">
        <f t="shared" si="24"/>
        <v>312550</v>
      </c>
      <c r="K171" s="100">
        <f t="shared" si="25"/>
        <v>1874.88</v>
      </c>
      <c r="L171" s="52">
        <f t="shared" si="26"/>
        <v>314000</v>
      </c>
      <c r="M171" s="108">
        <f>Precios!J167</f>
        <v>333841.80000000005</v>
      </c>
      <c r="N171" s="100">
        <f t="shared" si="27"/>
        <v>-19841.800000000047</v>
      </c>
      <c r="O171" s="102">
        <f t="shared" si="28"/>
        <v>-5.9434738250273164E-2</v>
      </c>
      <c r="P171" s="77">
        <f>IFERROR(L171/(Precios!D167+Precios!E167),"")</f>
        <v>1417.1337792340255</v>
      </c>
    </row>
    <row r="172" spans="1:16" x14ac:dyDescent="0.25">
      <c r="A172" s="92" t="str">
        <f>Lotes!A169</f>
        <v>E-005</v>
      </c>
      <c r="B172" s="93" t="str">
        <f>Lotes!B169</f>
        <v>T5</v>
      </c>
      <c r="C172" s="93" t="str">
        <f>Lotes!C169</f>
        <v>Fase 1</v>
      </c>
      <c r="D172" s="76">
        <f>Lotes!D169</f>
        <v>517.65</v>
      </c>
      <c r="E172" s="106">
        <f t="shared" si="20"/>
        <v>600</v>
      </c>
      <c r="F172" s="71">
        <f t="shared" si="21"/>
        <v>0</v>
      </c>
      <c r="G172" s="71">
        <f t="shared" si="22"/>
        <v>82.350000000000023</v>
      </c>
      <c r="H172" s="100">
        <f t="shared" si="23"/>
        <v>329000</v>
      </c>
      <c r="I172" s="107">
        <f>Lotes!J169</f>
        <v>1.0000000000000002E-2</v>
      </c>
      <c r="J172" s="100">
        <f t="shared" si="24"/>
        <v>332290</v>
      </c>
      <c r="K172" s="100">
        <f t="shared" si="25"/>
        <v>0</v>
      </c>
      <c r="L172" s="52">
        <f t="shared" si="26"/>
        <v>332000</v>
      </c>
      <c r="M172" s="108">
        <f>Precios!J168</f>
        <v>326684.10000000003</v>
      </c>
      <c r="N172" s="100">
        <f t="shared" si="27"/>
        <v>5315.8999999999651</v>
      </c>
      <c r="O172" s="102">
        <f t="shared" si="28"/>
        <v>1.627229485610094E-2</v>
      </c>
      <c r="P172" s="77">
        <f>IFERROR(L172/(Precios!D168+Precios!E168),"")</f>
        <v>1498.370747470371</v>
      </c>
    </row>
    <row r="173" spans="1:16" x14ac:dyDescent="0.25">
      <c r="A173" s="92" t="str">
        <f>Lotes!A170</f>
        <v>E-006</v>
      </c>
      <c r="B173" s="93" t="str">
        <f>Lotes!B170</f>
        <v>T5</v>
      </c>
      <c r="C173" s="93" t="str">
        <f>Lotes!C170</f>
        <v>Fase 1</v>
      </c>
      <c r="D173" s="76">
        <f>Lotes!D170</f>
        <v>745.89</v>
      </c>
      <c r="E173" s="106">
        <f t="shared" si="20"/>
        <v>600</v>
      </c>
      <c r="F173" s="71">
        <f t="shared" si="21"/>
        <v>145.88999999999999</v>
      </c>
      <c r="G173" s="71">
        <f t="shared" si="22"/>
        <v>0</v>
      </c>
      <c r="H173" s="100">
        <f t="shared" si="23"/>
        <v>329000</v>
      </c>
      <c r="I173" s="107">
        <f>Lotes!J170</f>
        <v>0.05</v>
      </c>
      <c r="J173" s="100">
        <f t="shared" si="24"/>
        <v>345450</v>
      </c>
      <c r="K173" s="100">
        <f t="shared" si="25"/>
        <v>1750.6799999999998</v>
      </c>
      <c r="L173" s="52">
        <f t="shared" si="26"/>
        <v>347000</v>
      </c>
      <c r="M173" s="108">
        <f>Precios!J169</f>
        <v>333531.30000000005</v>
      </c>
      <c r="N173" s="100">
        <f t="shared" si="27"/>
        <v>13468.699999999953</v>
      </c>
      <c r="O173" s="102">
        <f t="shared" si="28"/>
        <v>4.0382117060677521E-2</v>
      </c>
      <c r="P173" s="77">
        <f>IFERROR(L173/(Precios!D169+Precios!E169),"")</f>
        <v>1566.0682210006589</v>
      </c>
    </row>
    <row r="174" spans="1:16" x14ac:dyDescent="0.25">
      <c r="A174" s="92" t="str">
        <f>Lotes!A171</f>
        <v>E-007</v>
      </c>
      <c r="B174" s="93" t="str">
        <f>Lotes!B171</f>
        <v>T5</v>
      </c>
      <c r="C174" s="93" t="str">
        <f>Lotes!C171</f>
        <v>Fase 1</v>
      </c>
      <c r="D174" s="76">
        <f>Lotes!D171</f>
        <v>765.82</v>
      </c>
      <c r="E174" s="106">
        <f t="shared" si="20"/>
        <v>600</v>
      </c>
      <c r="F174" s="71">
        <f t="shared" si="21"/>
        <v>165.82000000000005</v>
      </c>
      <c r="G174" s="71">
        <f t="shared" si="22"/>
        <v>0</v>
      </c>
      <c r="H174" s="100">
        <f t="shared" si="23"/>
        <v>329000</v>
      </c>
      <c r="I174" s="107">
        <f>Lotes!J171</f>
        <v>0.01</v>
      </c>
      <c r="J174" s="100">
        <f t="shared" si="24"/>
        <v>332290</v>
      </c>
      <c r="K174" s="100">
        <f t="shared" si="25"/>
        <v>1989.8400000000006</v>
      </c>
      <c r="L174" s="52">
        <f t="shared" si="26"/>
        <v>334000</v>
      </c>
      <c r="M174" s="108">
        <f>Precios!J170</f>
        <v>334129.2</v>
      </c>
      <c r="N174" s="100">
        <f t="shared" si="27"/>
        <v>-129.20000000001164</v>
      </c>
      <c r="O174" s="102">
        <f t="shared" si="28"/>
        <v>-3.8667677054268719E-4</v>
      </c>
      <c r="P174" s="77">
        <f>IFERROR(L174/(Precios!D170+Precios!E170),"")</f>
        <v>1507.3970772744094</v>
      </c>
    </row>
    <row r="175" spans="1:16" x14ac:dyDescent="0.25">
      <c r="A175" s="92" t="str">
        <f>Lotes!A172</f>
        <v>E-008</v>
      </c>
      <c r="B175" s="93" t="str">
        <f>Lotes!B172</f>
        <v>T5</v>
      </c>
      <c r="C175" s="93" t="str">
        <f>Lotes!C172</f>
        <v>Fase 1</v>
      </c>
      <c r="D175" s="76">
        <f>Lotes!D172</f>
        <v>648.64</v>
      </c>
      <c r="E175" s="106">
        <f t="shared" si="20"/>
        <v>600</v>
      </c>
      <c r="F175" s="71">
        <f t="shared" si="21"/>
        <v>48.639999999999986</v>
      </c>
      <c r="G175" s="71">
        <f t="shared" si="22"/>
        <v>0</v>
      </c>
      <c r="H175" s="100">
        <f t="shared" si="23"/>
        <v>329000</v>
      </c>
      <c r="I175" s="107">
        <f>Lotes!J172</f>
        <v>3.9999999999999994E-2</v>
      </c>
      <c r="J175" s="100">
        <f t="shared" si="24"/>
        <v>342160</v>
      </c>
      <c r="K175" s="100">
        <f t="shared" si="25"/>
        <v>583.67999999999984</v>
      </c>
      <c r="L175" s="52">
        <f t="shared" si="26"/>
        <v>343000</v>
      </c>
      <c r="M175" s="108">
        <f>Precios!J171</f>
        <v>330613.80000000005</v>
      </c>
      <c r="N175" s="100">
        <f t="shared" si="27"/>
        <v>12386.199999999953</v>
      </c>
      <c r="O175" s="102">
        <f t="shared" si="28"/>
        <v>3.7464255878006156E-2</v>
      </c>
      <c r="P175" s="77">
        <f>IFERROR(L175/(Precios!D171+Precios!E171),"")</f>
        <v>1548.0155613925822</v>
      </c>
    </row>
    <row r="176" spans="1:16" x14ac:dyDescent="0.25">
      <c r="A176" s="92" t="str">
        <f>Lotes!A173</f>
        <v>E-009</v>
      </c>
      <c r="B176" s="93" t="str">
        <f>Lotes!B173</f>
        <v>T5</v>
      </c>
      <c r="C176" s="93" t="str">
        <f>Lotes!C173</f>
        <v>Fase 1</v>
      </c>
      <c r="D176" s="76">
        <f>Lotes!D173</f>
        <v>723.32</v>
      </c>
      <c r="E176" s="106">
        <f t="shared" si="20"/>
        <v>600</v>
      </c>
      <c r="F176" s="71">
        <f t="shared" si="21"/>
        <v>123.32000000000005</v>
      </c>
      <c r="G176" s="71">
        <f t="shared" si="22"/>
        <v>0</v>
      </c>
      <c r="H176" s="100">
        <f t="shared" si="23"/>
        <v>329000</v>
      </c>
      <c r="I176" s="107">
        <f>Lotes!J173</f>
        <v>0.05</v>
      </c>
      <c r="J176" s="100">
        <f t="shared" si="24"/>
        <v>345450</v>
      </c>
      <c r="K176" s="100">
        <f t="shared" si="25"/>
        <v>1479.8400000000006</v>
      </c>
      <c r="L176" s="52">
        <f t="shared" si="26"/>
        <v>347000</v>
      </c>
      <c r="M176" s="108">
        <f>Precios!J172</f>
        <v>332854.2</v>
      </c>
      <c r="N176" s="100">
        <f t="shared" si="27"/>
        <v>14145.799999999988</v>
      </c>
      <c r="O176" s="102">
        <f t="shared" si="28"/>
        <v>4.24984873256819E-2</v>
      </c>
      <c r="P176" s="77">
        <f>IFERROR(L176/(Precios!D172+Precios!E172),"")</f>
        <v>1566.0682210006589</v>
      </c>
    </row>
    <row r="177" spans="1:16" x14ac:dyDescent="0.25">
      <c r="A177" s="92" t="str">
        <f>Lotes!A174</f>
        <v>E-010</v>
      </c>
      <c r="B177" s="93" t="str">
        <f>Lotes!B174</f>
        <v>T5</v>
      </c>
      <c r="C177" s="93" t="str">
        <f>Lotes!C174</f>
        <v>Fase 1</v>
      </c>
      <c r="D177" s="76">
        <f>Lotes!D174</f>
        <v>644.47</v>
      </c>
      <c r="E177" s="106">
        <f t="shared" si="20"/>
        <v>600</v>
      </c>
      <c r="F177" s="71">
        <f t="shared" si="21"/>
        <v>44.470000000000027</v>
      </c>
      <c r="G177" s="71">
        <f t="shared" si="22"/>
        <v>0</v>
      </c>
      <c r="H177" s="100">
        <f t="shared" si="23"/>
        <v>329000</v>
      </c>
      <c r="I177" s="107">
        <f>Lotes!J174</f>
        <v>0.1</v>
      </c>
      <c r="J177" s="100">
        <f t="shared" si="24"/>
        <v>361900.00000000006</v>
      </c>
      <c r="K177" s="100">
        <f t="shared" si="25"/>
        <v>533.64000000000033</v>
      </c>
      <c r="L177" s="52">
        <f t="shared" si="26"/>
        <v>362000</v>
      </c>
      <c r="M177" s="108">
        <f>Precios!J173</f>
        <v>330488.7</v>
      </c>
      <c r="N177" s="100">
        <f t="shared" si="27"/>
        <v>31511.299999999988</v>
      </c>
      <c r="O177" s="102">
        <f t="shared" si="28"/>
        <v>9.5347586770742801E-2</v>
      </c>
      <c r="P177" s="77">
        <f>IFERROR(L177/(Precios!D173+Precios!E173),"")</f>
        <v>1633.7656945309466</v>
      </c>
    </row>
    <row r="178" spans="1:16" x14ac:dyDescent="0.25">
      <c r="A178" s="92" t="str">
        <f>Lotes!A175</f>
        <v>E-011</v>
      </c>
      <c r="B178" s="93" t="str">
        <f>Lotes!B175</f>
        <v>T5</v>
      </c>
      <c r="C178" s="93" t="str">
        <f>Lotes!C175</f>
        <v>Fase 1</v>
      </c>
      <c r="D178" s="76">
        <f>Lotes!D175</f>
        <v>599.96</v>
      </c>
      <c r="E178" s="106">
        <f t="shared" si="20"/>
        <v>600</v>
      </c>
      <c r="F178" s="71">
        <f t="shared" si="21"/>
        <v>0</v>
      </c>
      <c r="G178" s="71">
        <f t="shared" si="22"/>
        <v>3.999999999996362E-2</v>
      </c>
      <c r="H178" s="100">
        <f t="shared" si="23"/>
        <v>329000</v>
      </c>
      <c r="I178" s="107">
        <f>Lotes!J175</f>
        <v>0.05</v>
      </c>
      <c r="J178" s="100">
        <f t="shared" si="24"/>
        <v>345450</v>
      </c>
      <c r="K178" s="100">
        <f t="shared" si="25"/>
        <v>0</v>
      </c>
      <c r="L178" s="52">
        <f t="shared" si="26"/>
        <v>345000</v>
      </c>
      <c r="M178" s="108">
        <f>Precios!J174</f>
        <v>329153.40000000002</v>
      </c>
      <c r="N178" s="100">
        <f t="shared" si="27"/>
        <v>15846.599999999977</v>
      </c>
      <c r="O178" s="102">
        <f t="shared" si="28"/>
        <v>4.8143509986529005E-2</v>
      </c>
      <c r="P178" s="77">
        <f>IFERROR(L178/(Precios!D174+Precios!E174),"")</f>
        <v>1557.0418911966206</v>
      </c>
    </row>
    <row r="179" spans="1:16" x14ac:dyDescent="0.25">
      <c r="A179" s="92" t="str">
        <f>Lotes!A176</f>
        <v>E-012</v>
      </c>
      <c r="B179" s="93" t="str">
        <f>Lotes!B176</f>
        <v>T5</v>
      </c>
      <c r="C179" s="93" t="str">
        <f>Lotes!C176</f>
        <v>Fase 1</v>
      </c>
      <c r="D179" s="76">
        <f>Lotes!D176</f>
        <v>634.46</v>
      </c>
      <c r="E179" s="106">
        <f t="shared" si="20"/>
        <v>600</v>
      </c>
      <c r="F179" s="71">
        <f t="shared" si="21"/>
        <v>34.460000000000036</v>
      </c>
      <c r="G179" s="71">
        <f t="shared" si="22"/>
        <v>0</v>
      </c>
      <c r="H179" s="100">
        <f t="shared" si="23"/>
        <v>329000</v>
      </c>
      <c r="I179" s="107">
        <f>Lotes!J176</f>
        <v>8.0000000000000016E-2</v>
      </c>
      <c r="J179" s="100">
        <f t="shared" si="24"/>
        <v>355320</v>
      </c>
      <c r="K179" s="100">
        <f t="shared" si="25"/>
        <v>413.52000000000044</v>
      </c>
      <c r="L179" s="52">
        <f t="shared" si="26"/>
        <v>356000</v>
      </c>
      <c r="M179" s="108">
        <f>Precios!J175</f>
        <v>330188.40000000002</v>
      </c>
      <c r="N179" s="100">
        <f t="shared" si="27"/>
        <v>25811.599999999977</v>
      </c>
      <c r="O179" s="102">
        <f t="shared" si="28"/>
        <v>7.8172340397179227E-2</v>
      </c>
      <c r="P179" s="77">
        <f>IFERROR(L179/(Precios!D175+Precios!E175),"")</f>
        <v>1606.6867051188315</v>
      </c>
    </row>
    <row r="180" spans="1:16" x14ac:dyDescent="0.25">
      <c r="A180" s="92" t="str">
        <f>Lotes!A177</f>
        <v>E-013</v>
      </c>
      <c r="B180" s="93" t="str">
        <f>Lotes!B177</f>
        <v>T5</v>
      </c>
      <c r="C180" s="93" t="str">
        <f>Lotes!C177</f>
        <v>Fase 1</v>
      </c>
      <c r="D180" s="76">
        <f>Lotes!D177</f>
        <v>761.65</v>
      </c>
      <c r="E180" s="106">
        <f t="shared" si="20"/>
        <v>600</v>
      </c>
      <c r="F180" s="71">
        <f t="shared" si="21"/>
        <v>161.64999999999998</v>
      </c>
      <c r="G180" s="71">
        <f t="shared" si="22"/>
        <v>0</v>
      </c>
      <c r="H180" s="100">
        <f t="shared" si="23"/>
        <v>329000</v>
      </c>
      <c r="I180" s="107">
        <f>Lotes!J177</f>
        <v>-0.03</v>
      </c>
      <c r="J180" s="100">
        <f t="shared" si="24"/>
        <v>319130</v>
      </c>
      <c r="K180" s="100">
        <f t="shared" si="25"/>
        <v>1939.7999999999997</v>
      </c>
      <c r="L180" s="52">
        <f t="shared" si="26"/>
        <v>321000</v>
      </c>
      <c r="M180" s="108">
        <f>Precios!J176</f>
        <v>334004.10000000003</v>
      </c>
      <c r="N180" s="100">
        <f t="shared" si="27"/>
        <v>-13004.100000000035</v>
      </c>
      <c r="O180" s="102">
        <f t="shared" si="28"/>
        <v>-3.8933953205963739E-2</v>
      </c>
      <c r="P180" s="77">
        <f>IFERROR(L180/(Precios!D176+Precios!E176),"")</f>
        <v>1448.7259335481599</v>
      </c>
    </row>
    <row r="181" spans="1:16" x14ac:dyDescent="0.25">
      <c r="A181" s="92" t="str">
        <f>Lotes!A178</f>
        <v>E-014</v>
      </c>
      <c r="B181" s="93" t="str">
        <f>Lotes!B178</f>
        <v>T5</v>
      </c>
      <c r="C181" s="93" t="str">
        <f>Lotes!C178</f>
        <v>Fase 1</v>
      </c>
      <c r="D181" s="76">
        <f>Lotes!D178</f>
        <v>670.21</v>
      </c>
      <c r="E181" s="106">
        <f t="shared" si="20"/>
        <v>600</v>
      </c>
      <c r="F181" s="71">
        <f t="shared" si="21"/>
        <v>70.210000000000036</v>
      </c>
      <c r="G181" s="71">
        <f t="shared" si="22"/>
        <v>0</v>
      </c>
      <c r="H181" s="100">
        <f t="shared" si="23"/>
        <v>329000</v>
      </c>
      <c r="I181" s="107">
        <f>Lotes!J178</f>
        <v>0.06</v>
      </c>
      <c r="J181" s="100">
        <f t="shared" si="24"/>
        <v>348740</v>
      </c>
      <c r="K181" s="100">
        <f t="shared" si="25"/>
        <v>842.52000000000044</v>
      </c>
      <c r="L181" s="52">
        <f t="shared" si="26"/>
        <v>350000</v>
      </c>
      <c r="M181" s="108">
        <f>Precios!J177</f>
        <v>331260.90000000002</v>
      </c>
      <c r="N181" s="100">
        <f t="shared" si="27"/>
        <v>18739.099999999977</v>
      </c>
      <c r="O181" s="102">
        <f t="shared" si="28"/>
        <v>5.6569006484012981E-2</v>
      </c>
      <c r="P181" s="77">
        <f>IFERROR(L181/(Precios!D177+Precios!E177),"")</f>
        <v>1579.6077157067164</v>
      </c>
    </row>
    <row r="182" spans="1:16" x14ac:dyDescent="0.25">
      <c r="A182" s="92" t="str">
        <f>Lotes!A179</f>
        <v>E-015</v>
      </c>
      <c r="B182" s="93" t="str">
        <f>Lotes!B179</f>
        <v>T5</v>
      </c>
      <c r="C182" s="93" t="str">
        <f>Lotes!C179</f>
        <v>Fase 1</v>
      </c>
      <c r="D182" s="76">
        <f>Lotes!D179</f>
        <v>656.4</v>
      </c>
      <c r="E182" s="106">
        <f t="shared" si="20"/>
        <v>600</v>
      </c>
      <c r="F182" s="71">
        <f t="shared" si="21"/>
        <v>56.399999999999977</v>
      </c>
      <c r="G182" s="71">
        <f t="shared" si="22"/>
        <v>0</v>
      </c>
      <c r="H182" s="100">
        <f t="shared" si="23"/>
        <v>329000</v>
      </c>
      <c r="I182" s="107">
        <f>Lotes!J179</f>
        <v>-1.7347234759768071E-18</v>
      </c>
      <c r="J182" s="100">
        <f t="shared" si="24"/>
        <v>329000</v>
      </c>
      <c r="K182" s="100">
        <f t="shared" si="25"/>
        <v>676.79999999999973</v>
      </c>
      <c r="L182" s="52">
        <f t="shared" si="26"/>
        <v>330000</v>
      </c>
      <c r="M182" s="108">
        <f>Precios!J178</f>
        <v>330846.60000000003</v>
      </c>
      <c r="N182" s="100">
        <f t="shared" si="27"/>
        <v>-846.60000000003492</v>
      </c>
      <c r="O182" s="102">
        <f t="shared" si="28"/>
        <v>-2.558889829909193E-3</v>
      </c>
      <c r="P182" s="77">
        <f>IFERROR(L182/(Precios!D178+Precios!E178),"")</f>
        <v>1489.3444176663327</v>
      </c>
    </row>
    <row r="183" spans="1:16" x14ac:dyDescent="0.25">
      <c r="A183" s="92" t="str">
        <f>Lotes!A180</f>
        <v>E-016</v>
      </c>
      <c r="B183" s="93" t="str">
        <f>Lotes!B180</f>
        <v>T5</v>
      </c>
      <c r="C183" s="93" t="str">
        <f>Lotes!C180</f>
        <v>Fase 1</v>
      </c>
      <c r="D183" s="76">
        <f>Lotes!D180</f>
        <v>696.65</v>
      </c>
      <c r="E183" s="106">
        <f t="shared" si="20"/>
        <v>600</v>
      </c>
      <c r="F183" s="71">
        <f t="shared" si="21"/>
        <v>96.649999999999977</v>
      </c>
      <c r="G183" s="71">
        <f t="shared" si="22"/>
        <v>0</v>
      </c>
      <c r="H183" s="100">
        <f t="shared" si="23"/>
        <v>329000</v>
      </c>
      <c r="I183" s="107">
        <f>Lotes!J180</f>
        <v>1.9999999999999997E-2</v>
      </c>
      <c r="J183" s="100">
        <f t="shared" si="24"/>
        <v>335580</v>
      </c>
      <c r="K183" s="100">
        <f t="shared" si="25"/>
        <v>1159.7999999999997</v>
      </c>
      <c r="L183" s="52">
        <f t="shared" si="26"/>
        <v>337000</v>
      </c>
      <c r="M183" s="108">
        <f>Precios!J179</f>
        <v>332054.10000000003</v>
      </c>
      <c r="N183" s="100">
        <f t="shared" si="27"/>
        <v>4945.8999999999651</v>
      </c>
      <c r="O183" s="102">
        <f t="shared" si="28"/>
        <v>1.4894862011943127E-2</v>
      </c>
      <c r="P183" s="77">
        <f>IFERROR(L183/(Precios!D179+Precios!E179),"")</f>
        <v>1520.9365719804669</v>
      </c>
    </row>
    <row r="184" spans="1:16" x14ac:dyDescent="0.25">
      <c r="A184" s="92" t="str">
        <f>Lotes!A181</f>
        <v>E-017</v>
      </c>
      <c r="B184" s="93" t="str">
        <f>Lotes!B181</f>
        <v>T5</v>
      </c>
      <c r="C184" s="93" t="str">
        <f>Lotes!C181</f>
        <v>Fase 1</v>
      </c>
      <c r="D184" s="76">
        <f>Lotes!D181</f>
        <v>559.99</v>
      </c>
      <c r="E184" s="106">
        <f t="shared" si="20"/>
        <v>600</v>
      </c>
      <c r="F184" s="71">
        <f t="shared" si="21"/>
        <v>0</v>
      </c>
      <c r="G184" s="71">
        <f t="shared" si="22"/>
        <v>40.009999999999991</v>
      </c>
      <c r="H184" s="100">
        <f t="shared" si="23"/>
        <v>329000</v>
      </c>
      <c r="I184" s="107">
        <f>Lotes!J181</f>
        <v>0.08</v>
      </c>
      <c r="J184" s="100">
        <f t="shared" si="24"/>
        <v>355320</v>
      </c>
      <c r="K184" s="100">
        <f t="shared" si="25"/>
        <v>0</v>
      </c>
      <c r="L184" s="52">
        <f t="shared" si="26"/>
        <v>355000</v>
      </c>
      <c r="M184" s="108">
        <f>Precios!J180</f>
        <v>327954.30000000005</v>
      </c>
      <c r="N184" s="100">
        <f t="shared" si="27"/>
        <v>27045.699999999953</v>
      </c>
      <c r="O184" s="102">
        <f t="shared" si="28"/>
        <v>8.2467892630162035E-2</v>
      </c>
      <c r="P184" s="77">
        <f>IFERROR(L184/(Precios!D180+Precios!E180),"")</f>
        <v>1602.1735402168124</v>
      </c>
    </row>
    <row r="185" spans="1:16" x14ac:dyDescent="0.25">
      <c r="A185" s="92" t="str">
        <f>Lotes!A182</f>
        <v>E-018</v>
      </c>
      <c r="B185" s="93" t="str">
        <f>Lotes!B182</f>
        <v>T5</v>
      </c>
      <c r="C185" s="93" t="str">
        <f>Lotes!C182</f>
        <v>Fase 1</v>
      </c>
      <c r="D185" s="76">
        <f>Lotes!D182</f>
        <v>733.12</v>
      </c>
      <c r="E185" s="106">
        <f t="shared" si="20"/>
        <v>600</v>
      </c>
      <c r="F185" s="71">
        <f t="shared" si="21"/>
        <v>133.12</v>
      </c>
      <c r="G185" s="71">
        <f t="shared" si="22"/>
        <v>0</v>
      </c>
      <c r="H185" s="100">
        <f t="shared" si="23"/>
        <v>329000</v>
      </c>
      <c r="I185" s="107">
        <f>Lotes!J182</f>
        <v>1.9999999999999997E-2</v>
      </c>
      <c r="J185" s="100">
        <f t="shared" si="24"/>
        <v>335580</v>
      </c>
      <c r="K185" s="100">
        <f t="shared" si="25"/>
        <v>1597.44</v>
      </c>
      <c r="L185" s="52">
        <f t="shared" si="26"/>
        <v>337000</v>
      </c>
      <c r="M185" s="108">
        <f>Precios!J181</f>
        <v>333148.2</v>
      </c>
      <c r="N185" s="100">
        <f t="shared" si="27"/>
        <v>3851.7999999999884</v>
      </c>
      <c r="O185" s="102">
        <f t="shared" si="28"/>
        <v>1.1561821435625312E-2</v>
      </c>
      <c r="P185" s="77">
        <f>IFERROR(L185/(Precios!D181+Precios!E181),"")</f>
        <v>1520.9365719804669</v>
      </c>
    </row>
    <row r="186" spans="1:16" x14ac:dyDescent="0.25">
      <c r="A186" s="92" t="str">
        <f>Lotes!A183</f>
        <v>E-019</v>
      </c>
      <c r="B186" s="93" t="str">
        <f>Lotes!B183</f>
        <v>T5</v>
      </c>
      <c r="C186" s="93" t="str">
        <f>Lotes!C183</f>
        <v>Fase 1</v>
      </c>
      <c r="D186" s="76">
        <f>Lotes!D183</f>
        <v>640.84</v>
      </c>
      <c r="E186" s="106">
        <f t="shared" si="20"/>
        <v>600</v>
      </c>
      <c r="F186" s="71">
        <f t="shared" si="21"/>
        <v>40.840000000000032</v>
      </c>
      <c r="G186" s="71">
        <f t="shared" si="22"/>
        <v>0</v>
      </c>
      <c r="H186" s="100">
        <f t="shared" si="23"/>
        <v>329000</v>
      </c>
      <c r="I186" s="107">
        <f>Lotes!J183</f>
        <v>1.9999999999999997E-2</v>
      </c>
      <c r="J186" s="100">
        <f t="shared" si="24"/>
        <v>335580</v>
      </c>
      <c r="K186" s="100">
        <f t="shared" si="25"/>
        <v>490.08000000000038</v>
      </c>
      <c r="L186" s="52">
        <f t="shared" si="26"/>
        <v>336000</v>
      </c>
      <c r="M186" s="108">
        <f>Precios!J182</f>
        <v>330379.80000000005</v>
      </c>
      <c r="N186" s="100">
        <f t="shared" si="27"/>
        <v>5620.1999999999534</v>
      </c>
      <c r="O186" s="102">
        <f t="shared" si="28"/>
        <v>1.7011330595877693E-2</v>
      </c>
      <c r="P186" s="77">
        <f>IFERROR(L186/(Precios!D182+Precios!E182),"")</f>
        <v>1516.4234070784478</v>
      </c>
    </row>
    <row r="187" spans="1:16" x14ac:dyDescent="0.25">
      <c r="A187" s="92" t="str">
        <f>Lotes!A184</f>
        <v>E-020</v>
      </c>
      <c r="B187" s="93" t="str">
        <f>Lotes!B184</f>
        <v>T5</v>
      </c>
      <c r="C187" s="93" t="str">
        <f>Lotes!C184</f>
        <v>Fase 1</v>
      </c>
      <c r="D187" s="76">
        <f>Lotes!D184</f>
        <v>648.91</v>
      </c>
      <c r="E187" s="106">
        <f t="shared" si="20"/>
        <v>600</v>
      </c>
      <c r="F187" s="71">
        <f t="shared" si="21"/>
        <v>48.909999999999968</v>
      </c>
      <c r="G187" s="71">
        <f t="shared" si="22"/>
        <v>0</v>
      </c>
      <c r="H187" s="100">
        <f t="shared" si="23"/>
        <v>329000</v>
      </c>
      <c r="I187" s="107">
        <f>Lotes!J184</f>
        <v>-1.7347234759768071E-18</v>
      </c>
      <c r="J187" s="100">
        <f t="shared" si="24"/>
        <v>329000</v>
      </c>
      <c r="K187" s="100">
        <f t="shared" si="25"/>
        <v>586.91999999999962</v>
      </c>
      <c r="L187" s="52">
        <f t="shared" si="26"/>
        <v>330000</v>
      </c>
      <c r="M187" s="108">
        <f>Precios!J183</f>
        <v>330621.90000000002</v>
      </c>
      <c r="N187" s="100">
        <f t="shared" si="27"/>
        <v>-621.90000000002328</v>
      </c>
      <c r="O187" s="102">
        <f t="shared" si="28"/>
        <v>-1.8810006233707544E-3</v>
      </c>
      <c r="P187" s="77">
        <f>IFERROR(L187/(Precios!D183+Precios!E183),"")</f>
        <v>1489.3444176663327</v>
      </c>
    </row>
    <row r="188" spans="1:16" x14ac:dyDescent="0.25">
      <c r="A188" s="92" t="str">
        <f>Lotes!A185</f>
        <v>E-021</v>
      </c>
      <c r="B188" s="93" t="str">
        <f>Lotes!B185</f>
        <v>T5</v>
      </c>
      <c r="C188" s="93" t="str">
        <f>Lotes!C185</f>
        <v>Fase 1</v>
      </c>
      <c r="D188" s="76">
        <f>Lotes!D185</f>
        <v>540.47</v>
      </c>
      <c r="E188" s="106">
        <f t="shared" si="20"/>
        <v>600</v>
      </c>
      <c r="F188" s="71">
        <f t="shared" si="21"/>
        <v>0</v>
      </c>
      <c r="G188" s="71">
        <f t="shared" si="22"/>
        <v>59.529999999999973</v>
      </c>
      <c r="H188" s="100">
        <f t="shared" si="23"/>
        <v>329000</v>
      </c>
      <c r="I188" s="107">
        <f>Lotes!J185</f>
        <v>9.0000000000000011E-2</v>
      </c>
      <c r="J188" s="100">
        <f t="shared" si="24"/>
        <v>358610</v>
      </c>
      <c r="K188" s="100">
        <f t="shared" si="25"/>
        <v>0</v>
      </c>
      <c r="L188" s="52">
        <f t="shared" si="26"/>
        <v>359000</v>
      </c>
      <c r="M188" s="108">
        <f>Precios!J184</f>
        <v>327368.7</v>
      </c>
      <c r="N188" s="100">
        <f t="shared" si="27"/>
        <v>31631.299999999988</v>
      </c>
      <c r="O188" s="102">
        <f t="shared" si="28"/>
        <v>9.6622859790810756E-2</v>
      </c>
      <c r="P188" s="77">
        <f>IFERROR(L188/(Precios!D184+Precios!E184),"")</f>
        <v>1620.2261998248891</v>
      </c>
    </row>
    <row r="189" spans="1:16" x14ac:dyDescent="0.25">
      <c r="A189" s="92" t="str">
        <f>Lotes!A186</f>
        <v>E-022</v>
      </c>
      <c r="B189" s="93" t="str">
        <f>Lotes!B186</f>
        <v>T5</v>
      </c>
      <c r="C189" s="93" t="str">
        <f>Lotes!C186</f>
        <v>Fase 1</v>
      </c>
      <c r="D189" s="76">
        <f>Lotes!D186</f>
        <v>662.46</v>
      </c>
      <c r="E189" s="106">
        <f t="shared" si="20"/>
        <v>600</v>
      </c>
      <c r="F189" s="71">
        <f t="shared" si="21"/>
        <v>62.460000000000036</v>
      </c>
      <c r="G189" s="71">
        <f t="shared" si="22"/>
        <v>0</v>
      </c>
      <c r="H189" s="100">
        <f t="shared" si="23"/>
        <v>329000</v>
      </c>
      <c r="I189" s="107">
        <f>Lotes!J186</f>
        <v>0.05</v>
      </c>
      <c r="J189" s="100">
        <f t="shared" si="24"/>
        <v>345450</v>
      </c>
      <c r="K189" s="100">
        <f t="shared" si="25"/>
        <v>749.52000000000044</v>
      </c>
      <c r="L189" s="52">
        <f t="shared" si="26"/>
        <v>346000</v>
      </c>
      <c r="M189" s="108">
        <f>Precios!J185</f>
        <v>331028.40000000002</v>
      </c>
      <c r="N189" s="100">
        <f t="shared" si="27"/>
        <v>14971.599999999977</v>
      </c>
      <c r="O189" s="102">
        <f t="shared" si="28"/>
        <v>4.5227539389369541E-2</v>
      </c>
      <c r="P189" s="77">
        <f>IFERROR(L189/(Precios!D185+Precios!E185),"")</f>
        <v>1561.5550560986396</v>
      </c>
    </row>
    <row r="190" spans="1:16" x14ac:dyDescent="0.25">
      <c r="A190" s="92" t="str">
        <f>Lotes!A187</f>
        <v>E-023</v>
      </c>
      <c r="B190" s="93" t="str">
        <f>Lotes!B187</f>
        <v>T5</v>
      </c>
      <c r="C190" s="93" t="str">
        <f>Lotes!C187</f>
        <v>Fase 1</v>
      </c>
      <c r="D190" s="76">
        <f>Lotes!D187</f>
        <v>775.34</v>
      </c>
      <c r="E190" s="106">
        <f t="shared" si="20"/>
        <v>600</v>
      </c>
      <c r="F190" s="71">
        <f t="shared" si="21"/>
        <v>175.34000000000003</v>
      </c>
      <c r="G190" s="71">
        <f t="shared" si="22"/>
        <v>0</v>
      </c>
      <c r="H190" s="100">
        <f t="shared" si="23"/>
        <v>329000</v>
      </c>
      <c r="I190" s="107">
        <f>Lotes!J187</f>
        <v>7.0000000000000007E-2</v>
      </c>
      <c r="J190" s="100">
        <f t="shared" si="24"/>
        <v>352030</v>
      </c>
      <c r="K190" s="100">
        <f t="shared" si="25"/>
        <v>2104.0800000000004</v>
      </c>
      <c r="L190" s="52">
        <f t="shared" si="26"/>
        <v>354000</v>
      </c>
      <c r="M190" s="108">
        <f>Precios!J186</f>
        <v>334414.80000000005</v>
      </c>
      <c r="N190" s="100">
        <f t="shared" si="27"/>
        <v>19585.199999999953</v>
      </c>
      <c r="O190" s="102">
        <f t="shared" si="28"/>
        <v>5.8565589800451269E-2</v>
      </c>
      <c r="P190" s="77">
        <f>IFERROR(L190/(Precios!D186+Precios!E186),"")</f>
        <v>1597.6603753147931</v>
      </c>
    </row>
    <row r="191" spans="1:16" x14ac:dyDescent="0.25">
      <c r="A191" s="92" t="str">
        <f>Lotes!A188</f>
        <v>E-024</v>
      </c>
      <c r="B191" s="93" t="str">
        <f>Lotes!B188</f>
        <v>T5</v>
      </c>
      <c r="C191" s="93" t="str">
        <f>Lotes!C188</f>
        <v>Fase 1</v>
      </c>
      <c r="D191" s="76">
        <f>Lotes!D188</f>
        <v>745.47</v>
      </c>
      <c r="E191" s="106">
        <f t="shared" si="20"/>
        <v>600</v>
      </c>
      <c r="F191" s="71">
        <f t="shared" si="21"/>
        <v>145.47000000000003</v>
      </c>
      <c r="G191" s="71">
        <f t="shared" si="22"/>
        <v>0</v>
      </c>
      <c r="H191" s="100">
        <f t="shared" si="23"/>
        <v>329000</v>
      </c>
      <c r="I191" s="107">
        <f>Lotes!J188</f>
        <v>7.0000000000000007E-2</v>
      </c>
      <c r="J191" s="100">
        <f t="shared" si="24"/>
        <v>352030</v>
      </c>
      <c r="K191" s="100">
        <f t="shared" si="25"/>
        <v>1745.6400000000003</v>
      </c>
      <c r="L191" s="52">
        <f t="shared" si="26"/>
        <v>354000</v>
      </c>
      <c r="M191" s="108">
        <f>Precios!J187</f>
        <v>333518.7</v>
      </c>
      <c r="N191" s="100">
        <f t="shared" si="27"/>
        <v>20481.299999999988</v>
      </c>
      <c r="O191" s="102">
        <f t="shared" si="28"/>
        <v>6.1409750038003828E-2</v>
      </c>
      <c r="P191" s="77">
        <f>IFERROR(L191/(Precios!D187+Precios!E187),"")</f>
        <v>1597.6603753147931</v>
      </c>
    </row>
    <row r="192" spans="1:16" x14ac:dyDescent="0.25">
      <c r="A192" s="92" t="str">
        <f>Lotes!A189</f>
        <v>E-025</v>
      </c>
      <c r="B192" s="93" t="str">
        <f>Lotes!B189</f>
        <v>T5</v>
      </c>
      <c r="C192" s="93" t="str">
        <f>Lotes!C189</f>
        <v>Fase 1</v>
      </c>
      <c r="D192" s="76">
        <f>Lotes!D189</f>
        <v>670.43</v>
      </c>
      <c r="E192" s="106">
        <f t="shared" si="20"/>
        <v>600</v>
      </c>
      <c r="F192" s="71">
        <f t="shared" si="21"/>
        <v>70.42999999999995</v>
      </c>
      <c r="G192" s="71">
        <f t="shared" si="22"/>
        <v>0</v>
      </c>
      <c r="H192" s="100">
        <f t="shared" si="23"/>
        <v>329000</v>
      </c>
      <c r="I192" s="107">
        <f>Lotes!J189</f>
        <v>-0.01</v>
      </c>
      <c r="J192" s="100">
        <f t="shared" si="24"/>
        <v>325710</v>
      </c>
      <c r="K192" s="100">
        <f t="shared" si="25"/>
        <v>845.1599999999994</v>
      </c>
      <c r="L192" s="52">
        <f t="shared" si="26"/>
        <v>327000</v>
      </c>
      <c r="M192" s="108">
        <f>Precios!J188</f>
        <v>331267.50000000006</v>
      </c>
      <c r="N192" s="100">
        <f t="shared" si="27"/>
        <v>-4267.5000000000582</v>
      </c>
      <c r="O192" s="102">
        <f t="shared" si="28"/>
        <v>-1.2882338291562129E-2</v>
      </c>
      <c r="P192" s="77">
        <f>IFERROR(L192/(Precios!D188+Precios!E188),"")</f>
        <v>1475.804922960275</v>
      </c>
    </row>
    <row r="193" spans="1:16" x14ac:dyDescent="0.25">
      <c r="A193" s="92" t="str">
        <f>Lotes!A190</f>
        <v>E-026</v>
      </c>
      <c r="B193" s="93" t="str">
        <f>Lotes!B190</f>
        <v>T5</v>
      </c>
      <c r="C193" s="93" t="str">
        <f>Lotes!C190</f>
        <v>Fase 1</v>
      </c>
      <c r="D193" s="76">
        <f>Lotes!D190</f>
        <v>542.05999999999995</v>
      </c>
      <c r="E193" s="106">
        <f t="shared" si="20"/>
        <v>600</v>
      </c>
      <c r="F193" s="71">
        <f t="shared" si="21"/>
        <v>0</v>
      </c>
      <c r="G193" s="71">
        <f t="shared" si="22"/>
        <v>57.940000000000055</v>
      </c>
      <c r="H193" s="100">
        <f t="shared" si="23"/>
        <v>329000</v>
      </c>
      <c r="I193" s="107">
        <f>Lotes!J190</f>
        <v>3.9999999999999994E-2</v>
      </c>
      <c r="J193" s="100">
        <f t="shared" si="24"/>
        <v>342160</v>
      </c>
      <c r="K193" s="100">
        <f t="shared" si="25"/>
        <v>0</v>
      </c>
      <c r="L193" s="52">
        <f t="shared" si="26"/>
        <v>342000</v>
      </c>
      <c r="M193" s="108">
        <f>Precios!J189</f>
        <v>327416.40000000002</v>
      </c>
      <c r="N193" s="100">
        <f t="shared" si="27"/>
        <v>14583.599999999977</v>
      </c>
      <c r="O193" s="102">
        <f t="shared" si="28"/>
        <v>4.4541446305072001E-2</v>
      </c>
      <c r="P193" s="77">
        <f>IFERROR(L193/(Precios!D189+Precios!E189),"")</f>
        <v>1543.5023964905629</v>
      </c>
    </row>
    <row r="194" spans="1:16" x14ac:dyDescent="0.25">
      <c r="A194" s="92" t="str">
        <f>Lotes!A191</f>
        <v>E-027</v>
      </c>
      <c r="B194" s="93" t="str">
        <f>Lotes!B191</f>
        <v>T5</v>
      </c>
      <c r="C194" s="93" t="str">
        <f>Lotes!C191</f>
        <v>Fase 1</v>
      </c>
      <c r="D194" s="76">
        <f>Lotes!D191</f>
        <v>556.16</v>
      </c>
      <c r="E194" s="106">
        <f t="shared" si="20"/>
        <v>600</v>
      </c>
      <c r="F194" s="71">
        <f t="shared" si="21"/>
        <v>0</v>
      </c>
      <c r="G194" s="71">
        <f t="shared" si="22"/>
        <v>43.840000000000032</v>
      </c>
      <c r="H194" s="100">
        <f t="shared" si="23"/>
        <v>329000</v>
      </c>
      <c r="I194" s="107">
        <f>Lotes!J191</f>
        <v>9.9999999999999967E-3</v>
      </c>
      <c r="J194" s="100">
        <f t="shared" si="24"/>
        <v>332290</v>
      </c>
      <c r="K194" s="100">
        <f t="shared" si="25"/>
        <v>0</v>
      </c>
      <c r="L194" s="52">
        <f t="shared" si="26"/>
        <v>332000</v>
      </c>
      <c r="M194" s="108">
        <f>Precios!J190</f>
        <v>327839.40000000002</v>
      </c>
      <c r="N194" s="100">
        <f t="shared" si="27"/>
        <v>4160.5999999999767</v>
      </c>
      <c r="O194" s="102">
        <f t="shared" si="28"/>
        <v>1.2690970029837708E-2</v>
      </c>
      <c r="P194" s="77">
        <f>IFERROR(L194/(Precios!D190+Precios!E190),"")</f>
        <v>1498.370747470371</v>
      </c>
    </row>
    <row r="195" spans="1:16" x14ac:dyDescent="0.25">
      <c r="A195" s="92" t="str">
        <f>Lotes!A192</f>
        <v>E-028</v>
      </c>
      <c r="B195" s="93" t="str">
        <f>Lotes!B192</f>
        <v>T5</v>
      </c>
      <c r="C195" s="93" t="str">
        <f>Lotes!C192</f>
        <v>Fase 1</v>
      </c>
      <c r="D195" s="76">
        <f>Lotes!D192</f>
        <v>565.84</v>
      </c>
      <c r="E195" s="106">
        <f t="shared" si="20"/>
        <v>600</v>
      </c>
      <c r="F195" s="71">
        <f t="shared" si="21"/>
        <v>0</v>
      </c>
      <c r="G195" s="71">
        <f t="shared" si="22"/>
        <v>34.159999999999968</v>
      </c>
      <c r="H195" s="100">
        <f t="shared" si="23"/>
        <v>329000</v>
      </c>
      <c r="I195" s="107">
        <f>Lotes!J192</f>
        <v>0.03</v>
      </c>
      <c r="J195" s="100">
        <f t="shared" si="24"/>
        <v>338870</v>
      </c>
      <c r="K195" s="100">
        <f t="shared" si="25"/>
        <v>0</v>
      </c>
      <c r="L195" s="52">
        <f t="shared" si="26"/>
        <v>339000</v>
      </c>
      <c r="M195" s="108">
        <f>Precios!J191</f>
        <v>328129.80000000005</v>
      </c>
      <c r="N195" s="100">
        <f t="shared" si="27"/>
        <v>10870.199999999953</v>
      </c>
      <c r="O195" s="102">
        <f t="shared" si="28"/>
        <v>3.3127743959859637E-2</v>
      </c>
      <c r="P195" s="77">
        <f>IFERROR(L195/(Precios!D191+Precios!E191),"")</f>
        <v>1529.9629017845052</v>
      </c>
    </row>
    <row r="196" spans="1:16" x14ac:dyDescent="0.25">
      <c r="A196" s="92" t="str">
        <f>Lotes!A193</f>
        <v>E-029</v>
      </c>
      <c r="B196" s="93" t="str">
        <f>Lotes!B193</f>
        <v>T5</v>
      </c>
      <c r="C196" s="93" t="str">
        <f>Lotes!C193</f>
        <v>Fase 1</v>
      </c>
      <c r="D196" s="76">
        <f>Lotes!D193</f>
        <v>745.66</v>
      </c>
      <c r="E196" s="106">
        <f t="shared" si="20"/>
        <v>600</v>
      </c>
      <c r="F196" s="71">
        <f t="shared" si="21"/>
        <v>145.65999999999997</v>
      </c>
      <c r="G196" s="71">
        <f t="shared" si="22"/>
        <v>0</v>
      </c>
      <c r="H196" s="100">
        <f t="shared" si="23"/>
        <v>329000</v>
      </c>
      <c r="I196" s="107">
        <f>Lotes!J193</f>
        <v>1.9999999999999997E-2</v>
      </c>
      <c r="J196" s="100">
        <f t="shared" si="24"/>
        <v>335580</v>
      </c>
      <c r="K196" s="100">
        <f t="shared" si="25"/>
        <v>1747.9199999999996</v>
      </c>
      <c r="L196" s="52">
        <f t="shared" si="26"/>
        <v>337000</v>
      </c>
      <c r="M196" s="108">
        <f>Precios!J192</f>
        <v>333524.40000000002</v>
      </c>
      <c r="N196" s="100">
        <f t="shared" si="27"/>
        <v>3475.5999999999767</v>
      </c>
      <c r="O196" s="102">
        <f t="shared" si="28"/>
        <v>1.0420826782088437E-2</v>
      </c>
      <c r="P196" s="77">
        <f>IFERROR(L196/(Precios!D192+Precios!E192),"")</f>
        <v>1520.9365719804669</v>
      </c>
    </row>
    <row r="197" spans="1:16" x14ac:dyDescent="0.25">
      <c r="A197" s="92" t="str">
        <f>Lotes!A194</f>
        <v>E-030</v>
      </c>
      <c r="B197" s="93" t="str">
        <f>Lotes!B194</f>
        <v>T5</v>
      </c>
      <c r="C197" s="93" t="str">
        <f>Lotes!C194</f>
        <v>Fase 1</v>
      </c>
      <c r="D197" s="76">
        <f>Lotes!D194</f>
        <v>640.65</v>
      </c>
      <c r="E197" s="106">
        <f t="shared" si="20"/>
        <v>600</v>
      </c>
      <c r="F197" s="71">
        <f t="shared" si="21"/>
        <v>40.649999999999977</v>
      </c>
      <c r="G197" s="71">
        <f t="shared" si="22"/>
        <v>0</v>
      </c>
      <c r="H197" s="100">
        <f t="shared" si="23"/>
        <v>329000</v>
      </c>
      <c r="I197" s="107">
        <f>Lotes!J194</f>
        <v>-0.01</v>
      </c>
      <c r="J197" s="100">
        <f t="shared" si="24"/>
        <v>325710</v>
      </c>
      <c r="K197" s="100">
        <f t="shared" si="25"/>
        <v>487.79999999999973</v>
      </c>
      <c r="L197" s="52">
        <f t="shared" si="26"/>
        <v>326000</v>
      </c>
      <c r="M197" s="108">
        <f>Precios!J193</f>
        <v>330374.10000000003</v>
      </c>
      <c r="N197" s="100">
        <f t="shared" si="27"/>
        <v>-4374.1000000000349</v>
      </c>
      <c r="O197" s="102">
        <f t="shared" si="28"/>
        <v>-1.3239839321544983E-2</v>
      </c>
      <c r="P197" s="77">
        <f>IFERROR(L197/(Precios!D193+Precios!E193),"")</f>
        <v>1471.2917580582559</v>
      </c>
    </row>
    <row r="198" spans="1:16" x14ac:dyDescent="0.25">
      <c r="A198" s="92" t="str">
        <f>Lotes!A195</f>
        <v>E-031</v>
      </c>
      <c r="B198" s="93" t="str">
        <f>Lotes!B195</f>
        <v>T5</v>
      </c>
      <c r="C198" s="93" t="str">
        <f>Lotes!C195</f>
        <v>Fase 1</v>
      </c>
      <c r="D198" s="76">
        <f>Lotes!D195</f>
        <v>581.95000000000005</v>
      </c>
      <c r="E198" s="106">
        <f t="shared" si="20"/>
        <v>600</v>
      </c>
      <c r="F198" s="71">
        <f t="shared" si="21"/>
        <v>0</v>
      </c>
      <c r="G198" s="71">
        <f t="shared" si="22"/>
        <v>18.049999999999955</v>
      </c>
      <c r="H198" s="100">
        <f t="shared" si="23"/>
        <v>329000</v>
      </c>
      <c r="I198" s="107">
        <f>Lotes!J195</f>
        <v>0.08</v>
      </c>
      <c r="J198" s="100">
        <f t="shared" si="24"/>
        <v>355320</v>
      </c>
      <c r="K198" s="100">
        <f t="shared" si="25"/>
        <v>0</v>
      </c>
      <c r="L198" s="52">
        <f t="shared" si="26"/>
        <v>355000</v>
      </c>
      <c r="M198" s="108">
        <f>Precios!J194</f>
        <v>328613.10000000003</v>
      </c>
      <c r="N198" s="100">
        <f t="shared" si="27"/>
        <v>26386.899999999965</v>
      </c>
      <c r="O198" s="102">
        <f t="shared" si="28"/>
        <v>8.0297772669440021E-2</v>
      </c>
      <c r="P198" s="77">
        <f>IFERROR(L198/(Precios!D194+Precios!E194),"")</f>
        <v>1602.1735402168124</v>
      </c>
    </row>
    <row r="199" spans="1:16" x14ac:dyDescent="0.25">
      <c r="A199" s="92" t="str">
        <f>Lotes!A196</f>
        <v>E-032</v>
      </c>
      <c r="B199" s="93" t="str">
        <f>Lotes!B196</f>
        <v>T5</v>
      </c>
      <c r="C199" s="93" t="str">
        <f>Lotes!C196</f>
        <v>Fase 1</v>
      </c>
      <c r="D199" s="76">
        <f>Lotes!D196</f>
        <v>523.19000000000005</v>
      </c>
      <c r="E199" s="106">
        <f t="shared" si="20"/>
        <v>600</v>
      </c>
      <c r="F199" s="71">
        <f t="shared" si="21"/>
        <v>0</v>
      </c>
      <c r="G199" s="71">
        <f t="shared" si="22"/>
        <v>76.809999999999945</v>
      </c>
      <c r="H199" s="100">
        <f t="shared" si="23"/>
        <v>329000</v>
      </c>
      <c r="I199" s="107">
        <f>Lotes!J196</f>
        <v>1.9999999999999997E-2</v>
      </c>
      <c r="J199" s="100">
        <f t="shared" si="24"/>
        <v>335580</v>
      </c>
      <c r="K199" s="100">
        <f t="shared" si="25"/>
        <v>0</v>
      </c>
      <c r="L199" s="52">
        <f t="shared" si="26"/>
        <v>336000</v>
      </c>
      <c r="M199" s="108">
        <f>Precios!J195</f>
        <v>326850.30000000005</v>
      </c>
      <c r="N199" s="100">
        <f t="shared" si="27"/>
        <v>9149.6999999999534</v>
      </c>
      <c r="O199" s="102">
        <f t="shared" si="28"/>
        <v>2.7993549340477743E-2</v>
      </c>
      <c r="P199" s="77">
        <f>IFERROR(L199/(Precios!D195+Precios!E195),"")</f>
        <v>1516.4234070784478</v>
      </c>
    </row>
    <row r="200" spans="1:16" x14ac:dyDescent="0.25">
      <c r="A200" s="92" t="str">
        <f>Lotes!A197</f>
        <v>E-033</v>
      </c>
      <c r="B200" s="93" t="str">
        <f>Lotes!B197</f>
        <v>T5</v>
      </c>
      <c r="C200" s="93" t="str">
        <f>Lotes!C197</f>
        <v>Fase 1</v>
      </c>
      <c r="D200" s="76">
        <f>Lotes!D197</f>
        <v>631.47</v>
      </c>
      <c r="E200" s="106">
        <f t="shared" si="20"/>
        <v>600</v>
      </c>
      <c r="F200" s="71">
        <f t="shared" si="21"/>
        <v>31.470000000000027</v>
      </c>
      <c r="G200" s="71">
        <f t="shared" si="22"/>
        <v>0</v>
      </c>
      <c r="H200" s="100">
        <f t="shared" si="23"/>
        <v>329000</v>
      </c>
      <c r="I200" s="107">
        <f>Lotes!J197</f>
        <v>0.08</v>
      </c>
      <c r="J200" s="100">
        <f t="shared" si="24"/>
        <v>355320</v>
      </c>
      <c r="K200" s="100">
        <f t="shared" si="25"/>
        <v>377.64000000000033</v>
      </c>
      <c r="L200" s="52">
        <f t="shared" si="26"/>
        <v>356000</v>
      </c>
      <c r="M200" s="108">
        <f>Precios!J196</f>
        <v>330098.7</v>
      </c>
      <c r="N200" s="100">
        <f t="shared" si="27"/>
        <v>25901.299999999988</v>
      </c>
      <c r="O200" s="102">
        <f t="shared" si="28"/>
        <v>7.8465319615012075E-2</v>
      </c>
      <c r="P200" s="77">
        <f>IFERROR(L200/(Precios!D196+Precios!E196),"")</f>
        <v>1606.6867051188315</v>
      </c>
    </row>
    <row r="201" spans="1:16" x14ac:dyDescent="0.25">
      <c r="A201" s="92" t="str">
        <f>Lotes!A198</f>
        <v>E-034</v>
      </c>
      <c r="B201" s="93" t="str">
        <f>Lotes!B198</f>
        <v>T5</v>
      </c>
      <c r="C201" s="93" t="str">
        <f>Lotes!C198</f>
        <v>Fase 1</v>
      </c>
      <c r="D201" s="76">
        <f>Lotes!D198</f>
        <v>587.53</v>
      </c>
      <c r="E201" s="106">
        <f t="shared" si="20"/>
        <v>600</v>
      </c>
      <c r="F201" s="71">
        <f t="shared" si="21"/>
        <v>0</v>
      </c>
      <c r="G201" s="71">
        <f t="shared" si="22"/>
        <v>12.470000000000027</v>
      </c>
      <c r="H201" s="100">
        <f t="shared" si="23"/>
        <v>329000</v>
      </c>
      <c r="I201" s="107">
        <f>Lotes!J198</f>
        <v>0</v>
      </c>
      <c r="J201" s="100">
        <f t="shared" si="24"/>
        <v>329000</v>
      </c>
      <c r="K201" s="100">
        <f t="shared" si="25"/>
        <v>0</v>
      </c>
      <c r="L201" s="52">
        <f t="shared" si="26"/>
        <v>329000</v>
      </c>
      <c r="M201" s="108">
        <f>Precios!J197</f>
        <v>328780.50000000006</v>
      </c>
      <c r="N201" s="100">
        <f t="shared" si="27"/>
        <v>219.49999999994179</v>
      </c>
      <c r="O201" s="102">
        <f t="shared" si="28"/>
        <v>6.6761866959853691E-4</v>
      </c>
      <c r="P201" s="77">
        <f>IFERROR(L201/(Precios!D197+Precios!E197),"")</f>
        <v>1484.8312527643134</v>
      </c>
    </row>
    <row r="202" spans="1:16" x14ac:dyDescent="0.25">
      <c r="A202" s="92" t="str">
        <f>Lotes!A199</f>
        <v>E-035</v>
      </c>
      <c r="B202" s="93" t="str">
        <f>Lotes!B199</f>
        <v>T5</v>
      </c>
      <c r="C202" s="93" t="str">
        <f>Lotes!C199</f>
        <v>Fase 1</v>
      </c>
      <c r="D202" s="76">
        <f>Lotes!D199</f>
        <v>624.05999999999995</v>
      </c>
      <c r="E202" s="106">
        <f t="shared" si="20"/>
        <v>600</v>
      </c>
      <c r="F202" s="71">
        <f t="shared" si="21"/>
        <v>24.059999999999945</v>
      </c>
      <c r="G202" s="71">
        <f t="shared" si="22"/>
        <v>0</v>
      </c>
      <c r="H202" s="100">
        <f t="shared" si="23"/>
        <v>329000</v>
      </c>
      <c r="I202" s="107">
        <f>Lotes!J199</f>
        <v>-0.03</v>
      </c>
      <c r="J202" s="100">
        <f t="shared" si="24"/>
        <v>319130</v>
      </c>
      <c r="K202" s="100">
        <f t="shared" si="25"/>
        <v>288.71999999999935</v>
      </c>
      <c r="L202" s="52">
        <f t="shared" si="26"/>
        <v>319000</v>
      </c>
      <c r="M202" s="108">
        <f>Precios!J198</f>
        <v>329876.40000000002</v>
      </c>
      <c r="N202" s="100">
        <f t="shared" si="27"/>
        <v>-10876.400000000023</v>
      </c>
      <c r="O202" s="102">
        <f t="shared" si="28"/>
        <v>-3.2971137068308079E-2</v>
      </c>
      <c r="P202" s="77">
        <f>IFERROR(L202/(Precios!D198+Precios!E198),"")</f>
        <v>1439.6996037441215</v>
      </c>
    </row>
    <row r="203" spans="1:16" x14ac:dyDescent="0.25">
      <c r="A203" s="92" t="str">
        <f>Lotes!A200</f>
        <v>E-036</v>
      </c>
      <c r="B203" s="93" t="str">
        <f>Lotes!B200</f>
        <v>T5</v>
      </c>
      <c r="C203" s="93" t="str">
        <f>Lotes!C200</f>
        <v>Fase 1</v>
      </c>
      <c r="D203" s="76">
        <f>Lotes!D200</f>
        <v>619.19000000000005</v>
      </c>
      <c r="E203" s="106">
        <f t="shared" si="20"/>
        <v>600</v>
      </c>
      <c r="F203" s="71">
        <f t="shared" si="21"/>
        <v>19.190000000000055</v>
      </c>
      <c r="G203" s="71">
        <f t="shared" si="22"/>
        <v>0</v>
      </c>
      <c r="H203" s="100">
        <f t="shared" si="23"/>
        <v>329000</v>
      </c>
      <c r="I203" s="107">
        <f>Lotes!J200</f>
        <v>0.03</v>
      </c>
      <c r="J203" s="100">
        <f t="shared" si="24"/>
        <v>338870</v>
      </c>
      <c r="K203" s="100">
        <f t="shared" si="25"/>
        <v>230.28000000000065</v>
      </c>
      <c r="L203" s="52">
        <f t="shared" si="26"/>
        <v>339000</v>
      </c>
      <c r="M203" s="108">
        <f>Precios!J199</f>
        <v>329730.30000000005</v>
      </c>
      <c r="N203" s="100">
        <f t="shared" si="27"/>
        <v>9269.6999999999534</v>
      </c>
      <c r="O203" s="102">
        <f t="shared" si="28"/>
        <v>2.8112975968541419E-2</v>
      </c>
      <c r="P203" s="77">
        <f>IFERROR(L203/(Precios!D199+Precios!E199),"")</f>
        <v>1529.9629017845052</v>
      </c>
    </row>
    <row r="204" spans="1:16" x14ac:dyDescent="0.25">
      <c r="A204" s="92" t="str">
        <f>Lotes!A201</f>
        <v>E-037</v>
      </c>
      <c r="B204" s="93" t="str">
        <f>Lotes!B201</f>
        <v>T5</v>
      </c>
      <c r="C204" s="93" t="str">
        <f>Lotes!C201</f>
        <v>Fase 1</v>
      </c>
      <c r="D204" s="76">
        <f>Lotes!D201</f>
        <v>649.80999999999995</v>
      </c>
      <c r="E204" s="106">
        <f t="shared" si="20"/>
        <v>600</v>
      </c>
      <c r="F204" s="71">
        <f t="shared" si="21"/>
        <v>49.809999999999945</v>
      </c>
      <c r="G204" s="71">
        <f t="shared" si="22"/>
        <v>0</v>
      </c>
      <c r="H204" s="100">
        <f t="shared" si="23"/>
        <v>329000</v>
      </c>
      <c r="I204" s="107">
        <f>Lotes!J201</f>
        <v>0</v>
      </c>
      <c r="J204" s="100">
        <f t="shared" si="24"/>
        <v>329000</v>
      </c>
      <c r="K204" s="100">
        <f t="shared" si="25"/>
        <v>597.71999999999935</v>
      </c>
      <c r="L204" s="52">
        <f t="shared" si="26"/>
        <v>330000</v>
      </c>
      <c r="M204" s="108">
        <f>Precios!J200</f>
        <v>330648.90000000002</v>
      </c>
      <c r="N204" s="100">
        <f t="shared" si="27"/>
        <v>-648.90000000002328</v>
      </c>
      <c r="O204" s="102">
        <f t="shared" si="28"/>
        <v>-1.9625046386061566E-3</v>
      </c>
      <c r="P204" s="77">
        <f>IFERROR(L204/(Precios!D200+Precios!E200),"")</f>
        <v>1489.3444176663327</v>
      </c>
    </row>
    <row r="205" spans="1:16" x14ac:dyDescent="0.25">
      <c r="A205" s="92" t="str">
        <f>Lotes!A202</f>
        <v>E-038</v>
      </c>
      <c r="B205" s="93" t="str">
        <f>Lotes!B202</f>
        <v>T5</v>
      </c>
      <c r="C205" s="93" t="str">
        <f>Lotes!C202</f>
        <v>Fase 1</v>
      </c>
      <c r="D205" s="76">
        <f>Lotes!D202</f>
        <v>706.38</v>
      </c>
      <c r="E205" s="106">
        <f t="shared" si="20"/>
        <v>600</v>
      </c>
      <c r="F205" s="71">
        <f t="shared" si="21"/>
        <v>106.38</v>
      </c>
      <c r="G205" s="71">
        <f t="shared" si="22"/>
        <v>0</v>
      </c>
      <c r="H205" s="100">
        <f t="shared" si="23"/>
        <v>329000</v>
      </c>
      <c r="I205" s="107">
        <f>Lotes!J202</f>
        <v>-0.02</v>
      </c>
      <c r="J205" s="100">
        <f t="shared" si="24"/>
        <v>322420</v>
      </c>
      <c r="K205" s="100">
        <f t="shared" si="25"/>
        <v>1276.56</v>
      </c>
      <c r="L205" s="52">
        <f t="shared" si="26"/>
        <v>324000</v>
      </c>
      <c r="M205" s="108">
        <f>Precios!J201</f>
        <v>332346.00000000006</v>
      </c>
      <c r="N205" s="100">
        <f t="shared" si="27"/>
        <v>-8346.0000000000582</v>
      </c>
      <c r="O205" s="102">
        <f t="shared" si="28"/>
        <v>-2.5112382878085059E-2</v>
      </c>
      <c r="P205" s="77">
        <f>IFERROR(L205/(Precios!D201+Precios!E201),"")</f>
        <v>1462.2654282542176</v>
      </c>
    </row>
    <row r="206" spans="1:16" x14ac:dyDescent="0.25">
      <c r="A206" s="92" t="str">
        <f>Lotes!A203</f>
        <v>E-039</v>
      </c>
      <c r="B206" s="93" t="str">
        <f>Lotes!B203</f>
        <v>T5</v>
      </c>
      <c r="C206" s="93" t="str">
        <f>Lotes!C203</f>
        <v>Fase 1</v>
      </c>
      <c r="D206" s="76">
        <f>Lotes!D203</f>
        <v>598.11</v>
      </c>
      <c r="E206" s="106">
        <f t="shared" ref="E206:E246" si="29">IFERROR(VLOOKUP(B206,$A$6:$E$10,3,0),"")</f>
        <v>600</v>
      </c>
      <c r="F206" s="71">
        <f t="shared" ref="F206:F269" si="30">IF(E206="","",MAX(0,D206-E206))</f>
        <v>0</v>
      </c>
      <c r="G206" s="71">
        <f t="shared" ref="G206:G246" si="31">IF(E206="","",MAX(0,E206-D206))</f>
        <v>1.8899999999999864</v>
      </c>
      <c r="H206" s="100">
        <f t="shared" ref="H206:H246" si="32">IFERROR(VLOOKUP(B206,$A$6:$E$10,5,0),"")</f>
        <v>329000</v>
      </c>
      <c r="I206" s="107">
        <f>Lotes!J203</f>
        <v>0.08</v>
      </c>
      <c r="J206" s="100">
        <f t="shared" ref="J206:J269" si="33">IF(H206="","",H206*(1+I206))</f>
        <v>355320</v>
      </c>
      <c r="K206" s="100">
        <f t="shared" ref="K206:K246" si="34">IF(E206="","",F206*$K$6-G206*$K$7)</f>
        <v>0</v>
      </c>
      <c r="L206" s="52">
        <f t="shared" ref="L206:L269" si="35">IF(J206="","",ROUND((J206+K206)/$K$8,0)*$K$8)</f>
        <v>355000</v>
      </c>
      <c r="M206" s="108">
        <f>Precios!J202</f>
        <v>329097.90000000002</v>
      </c>
      <c r="N206" s="100">
        <f t="shared" ref="N206:N269" si="36">IF(OR(L206="",M206=""),"",L206-M206)</f>
        <v>25902.099999999977</v>
      </c>
      <c r="O206" s="102">
        <f t="shared" ref="O206:O269" si="37">IFERROR(N206/M206,"")</f>
        <v>7.8706366707292794E-2</v>
      </c>
      <c r="P206" s="77">
        <f>IFERROR(L206/(Precios!D202+Precios!E202),"")</f>
        <v>1602.1735402168124</v>
      </c>
    </row>
    <row r="207" spans="1:16" x14ac:dyDescent="0.25">
      <c r="A207" s="92" t="str">
        <f>Lotes!A204</f>
        <v>E-040</v>
      </c>
      <c r="B207" s="93" t="str">
        <f>Lotes!B204</f>
        <v>T5</v>
      </c>
      <c r="C207" s="93" t="str">
        <f>Lotes!C204</f>
        <v>Fase 1</v>
      </c>
      <c r="D207" s="76">
        <f>Lotes!D204</f>
        <v>600.45000000000005</v>
      </c>
      <c r="E207" s="106">
        <f t="shared" si="29"/>
        <v>600</v>
      </c>
      <c r="F207" s="71">
        <f t="shared" si="30"/>
        <v>0.45000000000004547</v>
      </c>
      <c r="G207" s="71">
        <f t="shared" si="31"/>
        <v>0</v>
      </c>
      <c r="H207" s="100">
        <f t="shared" si="32"/>
        <v>329000</v>
      </c>
      <c r="I207" s="107">
        <f>Lotes!J204</f>
        <v>0.04</v>
      </c>
      <c r="J207" s="100">
        <f t="shared" si="33"/>
        <v>342160</v>
      </c>
      <c r="K207" s="100">
        <f t="shared" si="34"/>
        <v>5.4000000000005457</v>
      </c>
      <c r="L207" s="52">
        <f t="shared" si="35"/>
        <v>342000</v>
      </c>
      <c r="M207" s="108">
        <f>Precios!J203</f>
        <v>329168.10000000003</v>
      </c>
      <c r="N207" s="100">
        <f t="shared" si="36"/>
        <v>12831.899999999965</v>
      </c>
      <c r="O207" s="102">
        <f t="shared" si="37"/>
        <v>3.8982817593806826E-2</v>
      </c>
      <c r="P207" s="77">
        <f>IFERROR(L207/(Precios!D203+Precios!E203),"")</f>
        <v>1543.5023964905629</v>
      </c>
    </row>
    <row r="208" spans="1:16" x14ac:dyDescent="0.25">
      <c r="A208" s="92" t="str">
        <f>Lotes!A205</f>
        <v>E-041</v>
      </c>
      <c r="B208" s="93" t="str">
        <f>Lotes!B205</f>
        <v>T5</v>
      </c>
      <c r="C208" s="93" t="str">
        <f>Lotes!C205</f>
        <v>Fase 1</v>
      </c>
      <c r="D208" s="76">
        <f>Lotes!D205</f>
        <v>543.86</v>
      </c>
      <c r="E208" s="106">
        <f t="shared" si="29"/>
        <v>600</v>
      </c>
      <c r="F208" s="71">
        <f t="shared" si="30"/>
        <v>0</v>
      </c>
      <c r="G208" s="71">
        <f t="shared" si="31"/>
        <v>56.139999999999986</v>
      </c>
      <c r="H208" s="100">
        <f t="shared" si="32"/>
        <v>329000</v>
      </c>
      <c r="I208" s="107">
        <f>Lotes!J205</f>
        <v>0.08</v>
      </c>
      <c r="J208" s="100">
        <f t="shared" si="33"/>
        <v>355320</v>
      </c>
      <c r="K208" s="100">
        <f t="shared" si="34"/>
        <v>0</v>
      </c>
      <c r="L208" s="52">
        <f t="shared" si="35"/>
        <v>355000</v>
      </c>
      <c r="M208" s="108">
        <f>Precios!J204</f>
        <v>327470.40000000002</v>
      </c>
      <c r="N208" s="100">
        <f t="shared" si="36"/>
        <v>27529.599999999977</v>
      </c>
      <c r="O208" s="102">
        <f t="shared" si="37"/>
        <v>8.406744548514912E-2</v>
      </c>
      <c r="P208" s="77">
        <f>IFERROR(L208/(Precios!D204+Precios!E204),"")</f>
        <v>1602.1735402168124</v>
      </c>
    </row>
    <row r="209" spans="1:16" x14ac:dyDescent="0.25">
      <c r="A209" s="92" t="str">
        <f>Lotes!A206</f>
        <v>E-042</v>
      </c>
      <c r="B209" s="93" t="str">
        <f>Lotes!B206</f>
        <v>T5</v>
      </c>
      <c r="C209" s="93" t="str">
        <f>Lotes!C206</f>
        <v>Fase 1</v>
      </c>
      <c r="D209" s="76">
        <f>Lotes!D206</f>
        <v>514.86</v>
      </c>
      <c r="E209" s="106">
        <f t="shared" si="29"/>
        <v>600</v>
      </c>
      <c r="F209" s="71">
        <f t="shared" si="30"/>
        <v>0</v>
      </c>
      <c r="G209" s="71">
        <f t="shared" si="31"/>
        <v>85.139999999999986</v>
      </c>
      <c r="H209" s="100">
        <f t="shared" si="32"/>
        <v>329000</v>
      </c>
      <c r="I209" s="107">
        <f>Lotes!J206</f>
        <v>-0.02</v>
      </c>
      <c r="J209" s="100">
        <f t="shared" si="33"/>
        <v>322420</v>
      </c>
      <c r="K209" s="100">
        <f t="shared" si="34"/>
        <v>0</v>
      </c>
      <c r="L209" s="52">
        <f t="shared" si="35"/>
        <v>322000</v>
      </c>
      <c r="M209" s="108">
        <f>Precios!J205</f>
        <v>326600.40000000002</v>
      </c>
      <c r="N209" s="100">
        <f t="shared" si="36"/>
        <v>-4600.4000000000233</v>
      </c>
      <c r="O209" s="102">
        <f t="shared" si="37"/>
        <v>-1.4085714530662005E-2</v>
      </c>
      <c r="P209" s="77">
        <f>IFERROR(L209/(Precios!D205+Precios!E205),"")</f>
        <v>1453.2390984501792</v>
      </c>
    </row>
    <row r="210" spans="1:16" x14ac:dyDescent="0.25">
      <c r="A210" s="92" t="str">
        <f>Lotes!A207</f>
        <v>E-043</v>
      </c>
      <c r="B210" s="93" t="str">
        <f>Lotes!B207</f>
        <v>T5</v>
      </c>
      <c r="C210" s="93" t="str">
        <f>Lotes!C207</f>
        <v>Fase 1</v>
      </c>
      <c r="D210" s="76">
        <f>Lotes!D207</f>
        <v>617.64</v>
      </c>
      <c r="E210" s="106">
        <f t="shared" si="29"/>
        <v>600</v>
      </c>
      <c r="F210" s="71">
        <f t="shared" si="30"/>
        <v>17.639999999999986</v>
      </c>
      <c r="G210" s="71">
        <f t="shared" si="31"/>
        <v>0</v>
      </c>
      <c r="H210" s="100">
        <f t="shared" si="32"/>
        <v>329000</v>
      </c>
      <c r="I210" s="107">
        <f>Lotes!J207</f>
        <v>0.12000000000000001</v>
      </c>
      <c r="J210" s="100">
        <f t="shared" si="33"/>
        <v>368480.00000000006</v>
      </c>
      <c r="K210" s="100">
        <f t="shared" si="34"/>
        <v>211.67999999999984</v>
      </c>
      <c r="L210" s="52">
        <f t="shared" si="35"/>
        <v>369000</v>
      </c>
      <c r="M210" s="108">
        <f>Precios!J206</f>
        <v>329683.80000000005</v>
      </c>
      <c r="N210" s="100">
        <f t="shared" si="36"/>
        <v>39316.199999999953</v>
      </c>
      <c r="O210" s="102">
        <f t="shared" si="37"/>
        <v>0.11925426727063916</v>
      </c>
      <c r="P210" s="77">
        <f>IFERROR(L210/(Precios!D206+Precios!E206),"")</f>
        <v>1665.357848845081</v>
      </c>
    </row>
    <row r="211" spans="1:16" x14ac:dyDescent="0.25">
      <c r="A211" s="92" t="str">
        <f>Lotes!A208</f>
        <v>E-044</v>
      </c>
      <c r="B211" s="93" t="str">
        <f>Lotes!B208</f>
        <v>T5</v>
      </c>
      <c r="C211" s="93" t="str">
        <f>Lotes!C208</f>
        <v>Fase 1</v>
      </c>
      <c r="D211" s="76">
        <f>Lotes!D208</f>
        <v>640.51</v>
      </c>
      <c r="E211" s="106">
        <f t="shared" si="29"/>
        <v>600</v>
      </c>
      <c r="F211" s="71">
        <f t="shared" si="30"/>
        <v>40.509999999999991</v>
      </c>
      <c r="G211" s="71">
        <f t="shared" si="31"/>
        <v>0</v>
      </c>
      <c r="H211" s="100">
        <f t="shared" si="32"/>
        <v>329000</v>
      </c>
      <c r="I211" s="107">
        <f>Lotes!J208</f>
        <v>6.0000000000000005E-2</v>
      </c>
      <c r="J211" s="100">
        <f t="shared" si="33"/>
        <v>348740</v>
      </c>
      <c r="K211" s="100">
        <f t="shared" si="34"/>
        <v>486.11999999999989</v>
      </c>
      <c r="L211" s="52">
        <f t="shared" si="35"/>
        <v>349000</v>
      </c>
      <c r="M211" s="108">
        <f>Precios!J207</f>
        <v>330369.90000000002</v>
      </c>
      <c r="N211" s="100">
        <f t="shared" si="36"/>
        <v>18630.099999999977</v>
      </c>
      <c r="O211" s="102">
        <f t="shared" si="37"/>
        <v>5.6391638584507776E-2</v>
      </c>
      <c r="P211" s="77">
        <f>IFERROR(L211/(Precios!D207+Precios!E207),"")</f>
        <v>1575.0945508046973</v>
      </c>
    </row>
    <row r="212" spans="1:16" x14ac:dyDescent="0.25">
      <c r="A212" s="92" t="str">
        <f>Lotes!A209</f>
        <v>E-045</v>
      </c>
      <c r="B212" s="93" t="str">
        <f>Lotes!B209</f>
        <v>T5</v>
      </c>
      <c r="C212" s="93" t="str">
        <f>Lotes!C209</f>
        <v>Fase 1</v>
      </c>
      <c r="D212" s="76">
        <f>Lotes!D209</f>
        <v>716.83</v>
      </c>
      <c r="E212" s="106">
        <f t="shared" si="29"/>
        <v>600</v>
      </c>
      <c r="F212" s="71">
        <f t="shared" si="30"/>
        <v>116.83000000000004</v>
      </c>
      <c r="G212" s="71">
        <f t="shared" si="31"/>
        <v>0</v>
      </c>
      <c r="H212" s="100">
        <f t="shared" si="32"/>
        <v>329000</v>
      </c>
      <c r="I212" s="107">
        <f>Lotes!J209</f>
        <v>0.05</v>
      </c>
      <c r="J212" s="100">
        <f t="shared" si="33"/>
        <v>345450</v>
      </c>
      <c r="K212" s="100">
        <f t="shared" si="34"/>
        <v>1401.9600000000005</v>
      </c>
      <c r="L212" s="52">
        <f t="shared" si="35"/>
        <v>347000</v>
      </c>
      <c r="M212" s="108">
        <f>Precios!J208</f>
        <v>332659.50000000006</v>
      </c>
      <c r="N212" s="100">
        <f t="shared" si="36"/>
        <v>14340.499999999942</v>
      </c>
      <c r="O212" s="102">
        <f t="shared" si="37"/>
        <v>4.3108644124096679E-2</v>
      </c>
      <c r="P212" s="77">
        <f>IFERROR(L212/(Precios!D208+Precios!E208),"")</f>
        <v>1566.0682210006589</v>
      </c>
    </row>
    <row r="213" spans="1:16" x14ac:dyDescent="0.25">
      <c r="A213" s="92" t="str">
        <f>Lotes!A210</f>
        <v>E-046</v>
      </c>
      <c r="B213" s="93" t="str">
        <f>Lotes!B210</f>
        <v>T5</v>
      </c>
      <c r="C213" s="93" t="str">
        <f>Lotes!C210</f>
        <v>Fase 1</v>
      </c>
      <c r="D213" s="76">
        <f>Lotes!D210</f>
        <v>629.35</v>
      </c>
      <c r="E213" s="106">
        <f t="shared" si="29"/>
        <v>600</v>
      </c>
      <c r="F213" s="71">
        <f t="shared" si="30"/>
        <v>29.350000000000023</v>
      </c>
      <c r="G213" s="71">
        <f t="shared" si="31"/>
        <v>0</v>
      </c>
      <c r="H213" s="100">
        <f t="shared" si="32"/>
        <v>329000</v>
      </c>
      <c r="I213" s="107">
        <f>Lotes!J210</f>
        <v>1.9999999999999997E-2</v>
      </c>
      <c r="J213" s="100">
        <f t="shared" si="33"/>
        <v>335580</v>
      </c>
      <c r="K213" s="100">
        <f t="shared" si="34"/>
        <v>352.20000000000027</v>
      </c>
      <c r="L213" s="52">
        <f t="shared" si="35"/>
        <v>336000</v>
      </c>
      <c r="M213" s="108">
        <f>Precios!J209</f>
        <v>330035.10000000003</v>
      </c>
      <c r="N213" s="100">
        <f t="shared" si="36"/>
        <v>5964.8999999999651</v>
      </c>
      <c r="O213" s="102">
        <f t="shared" si="37"/>
        <v>1.8073532178849959E-2</v>
      </c>
      <c r="P213" s="77">
        <f>IFERROR(L213/(Precios!D209+Precios!E209),"")</f>
        <v>1516.4234070784478</v>
      </c>
    </row>
    <row r="214" spans="1:16" x14ac:dyDescent="0.25">
      <c r="A214" s="92" t="str">
        <f>Lotes!A211</f>
        <v>E-047</v>
      </c>
      <c r="B214" s="93" t="str">
        <f>Lotes!B211</f>
        <v>T5</v>
      </c>
      <c r="C214" s="93" t="str">
        <f>Lotes!C211</f>
        <v>Fase 1</v>
      </c>
      <c r="D214" s="76">
        <f>Lotes!D211</f>
        <v>667.75</v>
      </c>
      <c r="E214" s="106">
        <f t="shared" si="29"/>
        <v>600</v>
      </c>
      <c r="F214" s="71">
        <f t="shared" si="30"/>
        <v>67.75</v>
      </c>
      <c r="G214" s="71">
        <f t="shared" si="31"/>
        <v>0</v>
      </c>
      <c r="H214" s="100">
        <f t="shared" si="32"/>
        <v>329000</v>
      </c>
      <c r="I214" s="107">
        <f>Lotes!J211</f>
        <v>9.9999999999999985E-3</v>
      </c>
      <c r="J214" s="100">
        <f t="shared" si="33"/>
        <v>332290</v>
      </c>
      <c r="K214" s="100">
        <f t="shared" si="34"/>
        <v>813</v>
      </c>
      <c r="L214" s="52">
        <f t="shared" si="35"/>
        <v>333000</v>
      </c>
      <c r="M214" s="108">
        <f>Precios!J210</f>
        <v>331187.10000000003</v>
      </c>
      <c r="N214" s="100">
        <f t="shared" si="36"/>
        <v>1812.8999999999651</v>
      </c>
      <c r="O214" s="102">
        <f t="shared" si="37"/>
        <v>5.4739450902525034E-3</v>
      </c>
      <c r="P214" s="77">
        <f>IFERROR(L214/(Precios!D210+Precios!E210),"")</f>
        <v>1502.8839123723901</v>
      </c>
    </row>
    <row r="215" spans="1:16" x14ac:dyDescent="0.25">
      <c r="A215" s="92" t="str">
        <f>Lotes!A212</f>
        <v>E-048</v>
      </c>
      <c r="B215" s="93" t="str">
        <f>Lotes!B212</f>
        <v>T5</v>
      </c>
      <c r="C215" s="93" t="str">
        <f>Lotes!C212</f>
        <v>Fase 1</v>
      </c>
      <c r="D215" s="76">
        <f>Lotes!D212</f>
        <v>666.58</v>
      </c>
      <c r="E215" s="106">
        <f t="shared" si="29"/>
        <v>600</v>
      </c>
      <c r="F215" s="71">
        <f t="shared" si="30"/>
        <v>66.580000000000041</v>
      </c>
      <c r="G215" s="71">
        <f t="shared" si="31"/>
        <v>0</v>
      </c>
      <c r="H215" s="100">
        <f t="shared" si="32"/>
        <v>329000</v>
      </c>
      <c r="I215" s="107">
        <f>Lotes!J212</f>
        <v>0</v>
      </c>
      <c r="J215" s="100">
        <f t="shared" si="33"/>
        <v>329000</v>
      </c>
      <c r="K215" s="100">
        <f t="shared" si="34"/>
        <v>798.96000000000049</v>
      </c>
      <c r="L215" s="52">
        <f t="shared" si="35"/>
        <v>330000</v>
      </c>
      <c r="M215" s="108">
        <f>Precios!J211</f>
        <v>331152.00000000006</v>
      </c>
      <c r="N215" s="100">
        <f t="shared" si="36"/>
        <v>-1152.0000000000582</v>
      </c>
      <c r="O215" s="102">
        <f t="shared" si="37"/>
        <v>-3.4787650384115391E-3</v>
      </c>
      <c r="P215" s="77">
        <f>IFERROR(L215/(Precios!D211+Precios!E211),"")</f>
        <v>1489.3444176663327</v>
      </c>
    </row>
    <row r="216" spans="1:16" x14ac:dyDescent="0.25">
      <c r="A216" s="92" t="str">
        <f>Lotes!A213</f>
        <v>E-049</v>
      </c>
      <c r="B216" s="93" t="str">
        <f>Lotes!B213</f>
        <v>T5</v>
      </c>
      <c r="C216" s="93" t="str">
        <f>Lotes!C213</f>
        <v>Fase 1</v>
      </c>
      <c r="D216" s="76">
        <f>Lotes!D213</f>
        <v>610.66</v>
      </c>
      <c r="E216" s="106">
        <f t="shared" si="29"/>
        <v>600</v>
      </c>
      <c r="F216" s="71">
        <f t="shared" si="30"/>
        <v>10.659999999999968</v>
      </c>
      <c r="G216" s="71">
        <f t="shared" si="31"/>
        <v>0</v>
      </c>
      <c r="H216" s="100">
        <f t="shared" si="32"/>
        <v>329000</v>
      </c>
      <c r="I216" s="107">
        <f>Lotes!J213</f>
        <v>0.01</v>
      </c>
      <c r="J216" s="100">
        <f t="shared" si="33"/>
        <v>332290</v>
      </c>
      <c r="K216" s="100">
        <f t="shared" si="34"/>
        <v>127.91999999999962</v>
      </c>
      <c r="L216" s="52">
        <f t="shared" si="35"/>
        <v>332000</v>
      </c>
      <c r="M216" s="108">
        <f>Precios!J212</f>
        <v>329474.40000000002</v>
      </c>
      <c r="N216" s="100">
        <f t="shared" si="36"/>
        <v>2525.5999999999767</v>
      </c>
      <c r="O216" s="102">
        <f t="shared" si="37"/>
        <v>7.6655424518565825E-3</v>
      </c>
      <c r="P216" s="77">
        <f>IFERROR(L216/(Precios!D212+Precios!E212),"")</f>
        <v>1498.370747470371</v>
      </c>
    </row>
    <row r="217" spans="1:16" x14ac:dyDescent="0.25">
      <c r="A217" s="92" t="str">
        <f>Lotes!A214</f>
        <v>E-050</v>
      </c>
      <c r="B217" s="93" t="str">
        <f>Lotes!B214</f>
        <v>T5</v>
      </c>
      <c r="C217" s="93" t="str">
        <f>Lotes!C214</f>
        <v>Fase 1</v>
      </c>
      <c r="D217" s="76">
        <f>Lotes!D214</f>
        <v>528.73</v>
      </c>
      <c r="E217" s="106">
        <f t="shared" si="29"/>
        <v>600</v>
      </c>
      <c r="F217" s="71">
        <f t="shared" si="30"/>
        <v>0</v>
      </c>
      <c r="G217" s="71">
        <f t="shared" si="31"/>
        <v>71.269999999999982</v>
      </c>
      <c r="H217" s="100">
        <f t="shared" si="32"/>
        <v>329000</v>
      </c>
      <c r="I217" s="107">
        <f>Lotes!J214</f>
        <v>0.04</v>
      </c>
      <c r="J217" s="100">
        <f t="shared" si="33"/>
        <v>342160</v>
      </c>
      <c r="K217" s="100">
        <f t="shared" si="34"/>
        <v>0</v>
      </c>
      <c r="L217" s="52">
        <f t="shared" si="35"/>
        <v>342000</v>
      </c>
      <c r="M217" s="108">
        <f>Precios!J213</f>
        <v>327016.50000000006</v>
      </c>
      <c r="N217" s="100">
        <f t="shared" si="36"/>
        <v>14983.499999999942</v>
      </c>
      <c r="O217" s="102">
        <f t="shared" si="37"/>
        <v>4.5818788960189899E-2</v>
      </c>
      <c r="P217" s="77">
        <f>IFERROR(L217/(Precios!D213+Precios!E213),"")</f>
        <v>1543.5023964905629</v>
      </c>
    </row>
    <row r="218" spans="1:16" x14ac:dyDescent="0.25">
      <c r="A218" s="92" t="str">
        <f>Lotes!A215</f>
        <v>E-051</v>
      </c>
      <c r="B218" s="93" t="str">
        <f>Lotes!B215</f>
        <v>T5</v>
      </c>
      <c r="C218" s="93" t="str">
        <f>Lotes!C215</f>
        <v>Fase 1</v>
      </c>
      <c r="D218" s="76">
        <f>Lotes!D215</f>
        <v>635.74</v>
      </c>
      <c r="E218" s="106">
        <f t="shared" si="29"/>
        <v>600</v>
      </c>
      <c r="F218" s="71">
        <f t="shared" si="30"/>
        <v>35.740000000000009</v>
      </c>
      <c r="G218" s="71">
        <f t="shared" si="31"/>
        <v>0</v>
      </c>
      <c r="H218" s="100">
        <f t="shared" si="32"/>
        <v>329000</v>
      </c>
      <c r="I218" s="107">
        <f>Lotes!J215</f>
        <v>1.9999999999999997E-2</v>
      </c>
      <c r="J218" s="100">
        <f t="shared" si="33"/>
        <v>335580</v>
      </c>
      <c r="K218" s="100">
        <f t="shared" si="34"/>
        <v>428.88000000000011</v>
      </c>
      <c r="L218" s="52">
        <f t="shared" si="35"/>
        <v>336000</v>
      </c>
      <c r="M218" s="108">
        <f>Precios!J214</f>
        <v>330226.80000000005</v>
      </c>
      <c r="N218" s="100">
        <f t="shared" si="36"/>
        <v>5773.1999999999534</v>
      </c>
      <c r="O218" s="102">
        <f t="shared" si="37"/>
        <v>1.7482530188343139E-2</v>
      </c>
      <c r="P218" s="77">
        <f>IFERROR(L218/(Precios!D214+Precios!E214),"")</f>
        <v>1516.4234070784478</v>
      </c>
    </row>
    <row r="219" spans="1:16" x14ac:dyDescent="0.25">
      <c r="A219" s="92" t="str">
        <f>Lotes!A216</f>
        <v>E-052</v>
      </c>
      <c r="B219" s="93" t="str">
        <f>Lotes!B216</f>
        <v>T5</v>
      </c>
      <c r="C219" s="93" t="str">
        <f>Lotes!C216</f>
        <v>Fase 1</v>
      </c>
      <c r="D219" s="76">
        <f>Lotes!D216</f>
        <v>571.20000000000005</v>
      </c>
      <c r="E219" s="106">
        <f t="shared" si="29"/>
        <v>600</v>
      </c>
      <c r="F219" s="71">
        <f t="shared" si="30"/>
        <v>0</v>
      </c>
      <c r="G219" s="71">
        <f t="shared" si="31"/>
        <v>28.799999999999955</v>
      </c>
      <c r="H219" s="100">
        <f t="shared" si="32"/>
        <v>329000</v>
      </c>
      <c r="I219" s="107">
        <f>Lotes!J216</f>
        <v>1.9999999999999997E-2</v>
      </c>
      <c r="J219" s="100">
        <f t="shared" si="33"/>
        <v>335580</v>
      </c>
      <c r="K219" s="100">
        <f t="shared" si="34"/>
        <v>0</v>
      </c>
      <c r="L219" s="52">
        <f t="shared" si="35"/>
        <v>336000</v>
      </c>
      <c r="M219" s="108">
        <f>Precios!J215</f>
        <v>328290.60000000003</v>
      </c>
      <c r="N219" s="100">
        <f t="shared" si="36"/>
        <v>7709.3999999999651</v>
      </c>
      <c r="O219" s="102">
        <f t="shared" si="37"/>
        <v>2.3483462517659551E-2</v>
      </c>
      <c r="P219" s="77">
        <f>IFERROR(L219/(Precios!D215+Precios!E215),"")</f>
        <v>1516.4234070784478</v>
      </c>
    </row>
    <row r="220" spans="1:16" x14ac:dyDescent="0.25">
      <c r="A220" s="92" t="str">
        <f>Lotes!A217</f>
        <v>E-053</v>
      </c>
      <c r="B220" s="93" t="str">
        <f>Lotes!B217</f>
        <v>T5</v>
      </c>
      <c r="C220" s="93" t="str">
        <f>Lotes!C217</f>
        <v>Fase 1</v>
      </c>
      <c r="D220" s="76">
        <f>Lotes!D217</f>
        <v>594.76</v>
      </c>
      <c r="E220" s="106">
        <f t="shared" si="29"/>
        <v>600</v>
      </c>
      <c r="F220" s="71">
        <f t="shared" si="30"/>
        <v>0</v>
      </c>
      <c r="G220" s="71">
        <f t="shared" si="31"/>
        <v>5.2400000000000091</v>
      </c>
      <c r="H220" s="100">
        <f t="shared" si="32"/>
        <v>329000</v>
      </c>
      <c r="I220" s="107">
        <f>Lotes!J217</f>
        <v>9.9999999999999967E-3</v>
      </c>
      <c r="J220" s="100">
        <f t="shared" si="33"/>
        <v>332290</v>
      </c>
      <c r="K220" s="100">
        <f t="shared" si="34"/>
        <v>0</v>
      </c>
      <c r="L220" s="52">
        <f t="shared" si="35"/>
        <v>332000</v>
      </c>
      <c r="M220" s="108">
        <f>Precios!J216</f>
        <v>328997.40000000002</v>
      </c>
      <c r="N220" s="100">
        <f t="shared" si="36"/>
        <v>3002.5999999999767</v>
      </c>
      <c r="O220" s="102">
        <f t="shared" si="37"/>
        <v>9.1265158934386009E-3</v>
      </c>
      <c r="P220" s="77">
        <f>IFERROR(L220/(Precios!D216+Precios!E216),"")</f>
        <v>1498.370747470371</v>
      </c>
    </row>
    <row r="221" spans="1:16" x14ac:dyDescent="0.25">
      <c r="A221" s="92" t="str">
        <f>Lotes!A218</f>
        <v>E-054</v>
      </c>
      <c r="B221" s="93" t="str">
        <f>Lotes!B218</f>
        <v>T5</v>
      </c>
      <c r="C221" s="93" t="str">
        <f>Lotes!C218</f>
        <v>Fase 1</v>
      </c>
      <c r="D221" s="76">
        <f>Lotes!D218</f>
        <v>571.22</v>
      </c>
      <c r="E221" s="106">
        <f t="shared" si="29"/>
        <v>600</v>
      </c>
      <c r="F221" s="71">
        <f t="shared" si="30"/>
        <v>0</v>
      </c>
      <c r="G221" s="71">
        <f t="shared" si="31"/>
        <v>28.779999999999973</v>
      </c>
      <c r="H221" s="100">
        <f t="shared" si="32"/>
        <v>329000</v>
      </c>
      <c r="I221" s="107">
        <f>Lotes!J218</f>
        <v>3.9999999999999994E-2</v>
      </c>
      <c r="J221" s="100">
        <f t="shared" si="33"/>
        <v>342160</v>
      </c>
      <c r="K221" s="100">
        <f t="shared" si="34"/>
        <v>0</v>
      </c>
      <c r="L221" s="52">
        <f t="shared" si="35"/>
        <v>342000</v>
      </c>
      <c r="M221" s="108">
        <f>Precios!J217</f>
        <v>328291.20000000001</v>
      </c>
      <c r="N221" s="100">
        <f t="shared" si="36"/>
        <v>13708.799999999988</v>
      </c>
      <c r="O221" s="102">
        <f t="shared" si="37"/>
        <v>4.1758048951662387E-2</v>
      </c>
      <c r="P221" s="77">
        <f>IFERROR(L221/(Precios!D217+Precios!E217),"")</f>
        <v>1543.5023964905629</v>
      </c>
    </row>
    <row r="222" spans="1:16" x14ac:dyDescent="0.25">
      <c r="A222" s="92" t="str">
        <f>Lotes!A219</f>
        <v>E-055</v>
      </c>
      <c r="B222" s="93" t="str">
        <f>Lotes!B219</f>
        <v>T5</v>
      </c>
      <c r="C222" s="93" t="str">
        <f>Lotes!C219</f>
        <v>Fase 1</v>
      </c>
      <c r="D222" s="76">
        <f>Lotes!D219</f>
        <v>530.14</v>
      </c>
      <c r="E222" s="106">
        <f t="shared" si="29"/>
        <v>600</v>
      </c>
      <c r="F222" s="71">
        <f t="shared" si="30"/>
        <v>0</v>
      </c>
      <c r="G222" s="71">
        <f t="shared" si="31"/>
        <v>69.860000000000014</v>
      </c>
      <c r="H222" s="100">
        <f t="shared" si="32"/>
        <v>329000</v>
      </c>
      <c r="I222" s="107">
        <f>Lotes!J219</f>
        <v>7.0000000000000007E-2</v>
      </c>
      <c r="J222" s="100">
        <f t="shared" si="33"/>
        <v>352030</v>
      </c>
      <c r="K222" s="100">
        <f t="shared" si="34"/>
        <v>0</v>
      </c>
      <c r="L222" s="52">
        <f t="shared" si="35"/>
        <v>352000</v>
      </c>
      <c r="M222" s="108">
        <f>Precios!J218</f>
        <v>327058.80000000005</v>
      </c>
      <c r="N222" s="100">
        <f t="shared" si="36"/>
        <v>24941.199999999953</v>
      </c>
      <c r="O222" s="102">
        <f t="shared" si="37"/>
        <v>7.6259070234465334E-2</v>
      </c>
      <c r="P222" s="77">
        <f>IFERROR(L222/(Precios!D218+Precios!E218),"")</f>
        <v>1588.6340455107547</v>
      </c>
    </row>
    <row r="223" spans="1:16" x14ac:dyDescent="0.25">
      <c r="A223" s="92" t="str">
        <f>Lotes!A220</f>
        <v>E-056</v>
      </c>
      <c r="B223" s="93" t="str">
        <f>Lotes!B220</f>
        <v>T5</v>
      </c>
      <c r="C223" s="93" t="str">
        <f>Lotes!C220</f>
        <v>Fase 1</v>
      </c>
      <c r="D223" s="76">
        <f>Lotes!D220</f>
        <v>624.99</v>
      </c>
      <c r="E223" s="106">
        <f t="shared" si="29"/>
        <v>600</v>
      </c>
      <c r="F223" s="71">
        <f t="shared" si="30"/>
        <v>24.990000000000009</v>
      </c>
      <c r="G223" s="71">
        <f t="shared" si="31"/>
        <v>0</v>
      </c>
      <c r="H223" s="100">
        <f t="shared" si="32"/>
        <v>329000</v>
      </c>
      <c r="I223" s="107">
        <f>Lotes!J220</f>
        <v>-0.03</v>
      </c>
      <c r="J223" s="100">
        <f t="shared" si="33"/>
        <v>319130</v>
      </c>
      <c r="K223" s="100">
        <f t="shared" si="34"/>
        <v>299.88000000000011</v>
      </c>
      <c r="L223" s="52">
        <f t="shared" si="35"/>
        <v>319000</v>
      </c>
      <c r="M223" s="108">
        <f>Precios!J219</f>
        <v>329904.30000000005</v>
      </c>
      <c r="N223" s="100">
        <f t="shared" si="36"/>
        <v>-10904.300000000047</v>
      </c>
      <c r="O223" s="102">
        <f t="shared" si="37"/>
        <v>-3.3052918679750597E-2</v>
      </c>
      <c r="P223" s="77">
        <f>IFERROR(L223/(Precios!D219+Precios!E219),"")</f>
        <v>1439.6996037441215</v>
      </c>
    </row>
    <row r="224" spans="1:16" x14ac:dyDescent="0.25">
      <c r="A224" s="92" t="str">
        <f>Lotes!A221</f>
        <v>E-057</v>
      </c>
      <c r="B224" s="93" t="str">
        <f>Lotes!B221</f>
        <v>T5</v>
      </c>
      <c r="C224" s="93" t="str">
        <f>Lotes!C221</f>
        <v>Fase 2</v>
      </c>
      <c r="D224" s="76">
        <f>Lotes!D221</f>
        <v>795.94</v>
      </c>
      <c r="E224" s="106">
        <f t="shared" si="29"/>
        <v>600</v>
      </c>
      <c r="F224" s="71">
        <f t="shared" si="30"/>
        <v>195.94000000000005</v>
      </c>
      <c r="G224" s="71">
        <f t="shared" si="31"/>
        <v>0</v>
      </c>
      <c r="H224" s="100">
        <f t="shared" si="32"/>
        <v>329000</v>
      </c>
      <c r="I224" s="107">
        <f>Lotes!J221</f>
        <v>-0.01</v>
      </c>
      <c r="J224" s="100">
        <f t="shared" si="33"/>
        <v>325710</v>
      </c>
      <c r="K224" s="100">
        <f t="shared" si="34"/>
        <v>2351.2800000000007</v>
      </c>
      <c r="L224" s="52">
        <f t="shared" si="35"/>
        <v>328000</v>
      </c>
      <c r="M224" s="108">
        <f>Precios!J220</f>
        <v>335032.80000000005</v>
      </c>
      <c r="N224" s="100">
        <f t="shared" si="36"/>
        <v>-7032.8000000000466</v>
      </c>
      <c r="O224" s="102">
        <f t="shared" si="37"/>
        <v>-2.0991377560644946E-2</v>
      </c>
      <c r="P224" s="77">
        <f>IFERROR(L224/(Precios!D220+Precios!E220),"")</f>
        <v>1480.3180878622943</v>
      </c>
    </row>
    <row r="225" spans="1:16" x14ac:dyDescent="0.25">
      <c r="A225" s="92" t="str">
        <f>Lotes!A222</f>
        <v>E-058</v>
      </c>
      <c r="B225" s="93" t="str">
        <f>Lotes!B222</f>
        <v>T5</v>
      </c>
      <c r="C225" s="93" t="str">
        <f>Lotes!C222</f>
        <v>Fase 2</v>
      </c>
      <c r="D225" s="76">
        <f>Lotes!D222</f>
        <v>766.81</v>
      </c>
      <c r="E225" s="106">
        <f t="shared" si="29"/>
        <v>600</v>
      </c>
      <c r="F225" s="71">
        <f t="shared" si="30"/>
        <v>166.80999999999995</v>
      </c>
      <c r="G225" s="71">
        <f t="shared" si="31"/>
        <v>0</v>
      </c>
      <c r="H225" s="100">
        <f t="shared" si="32"/>
        <v>329000</v>
      </c>
      <c r="I225" s="107">
        <f>Lotes!J222</f>
        <v>4.9999999999999996E-2</v>
      </c>
      <c r="J225" s="100">
        <f t="shared" si="33"/>
        <v>345450</v>
      </c>
      <c r="K225" s="100">
        <f t="shared" si="34"/>
        <v>2001.7199999999993</v>
      </c>
      <c r="L225" s="52">
        <f t="shared" si="35"/>
        <v>347000</v>
      </c>
      <c r="M225" s="108">
        <f>Precios!J221</f>
        <v>334158.90000000002</v>
      </c>
      <c r="N225" s="100">
        <f t="shared" si="36"/>
        <v>12841.099999999977</v>
      </c>
      <c r="O225" s="102">
        <f t="shared" si="37"/>
        <v>3.8428125062657241E-2</v>
      </c>
      <c r="P225" s="77">
        <f>IFERROR(L225/(Precios!D221+Precios!E221),"")</f>
        <v>1566.0682210006589</v>
      </c>
    </row>
    <row r="226" spans="1:16" x14ac:dyDescent="0.25">
      <c r="A226" s="92" t="str">
        <f>Lotes!A223</f>
        <v>E-059</v>
      </c>
      <c r="B226" s="93" t="str">
        <f>Lotes!B223</f>
        <v>T5</v>
      </c>
      <c r="C226" s="93" t="str">
        <f>Lotes!C223</f>
        <v>Fase 2</v>
      </c>
      <c r="D226" s="76">
        <f>Lotes!D223</f>
        <v>712.57</v>
      </c>
      <c r="E226" s="106">
        <f t="shared" si="29"/>
        <v>600</v>
      </c>
      <c r="F226" s="71">
        <f t="shared" si="30"/>
        <v>112.57000000000005</v>
      </c>
      <c r="G226" s="71">
        <f t="shared" si="31"/>
        <v>0</v>
      </c>
      <c r="H226" s="100">
        <f t="shared" si="32"/>
        <v>329000</v>
      </c>
      <c r="I226" s="107">
        <f>Lotes!J223</f>
        <v>-0.01</v>
      </c>
      <c r="J226" s="100">
        <f t="shared" si="33"/>
        <v>325710</v>
      </c>
      <c r="K226" s="100">
        <f t="shared" si="34"/>
        <v>1350.8400000000006</v>
      </c>
      <c r="L226" s="52">
        <f t="shared" si="35"/>
        <v>327000</v>
      </c>
      <c r="M226" s="108">
        <f>Precios!J222</f>
        <v>332531.7</v>
      </c>
      <c r="N226" s="100">
        <f t="shared" si="36"/>
        <v>-5531.7000000000116</v>
      </c>
      <c r="O226" s="102">
        <f t="shared" si="37"/>
        <v>-1.6635105765856341E-2</v>
      </c>
      <c r="P226" s="77">
        <f>IFERROR(L226/(Precios!D222+Precios!E222),"")</f>
        <v>1475.804922960275</v>
      </c>
    </row>
    <row r="227" spans="1:16" x14ac:dyDescent="0.25">
      <c r="A227" s="92" t="str">
        <f>Lotes!A224</f>
        <v>E-060</v>
      </c>
      <c r="B227" s="93" t="str">
        <f>Lotes!B224</f>
        <v>T5</v>
      </c>
      <c r="C227" s="93" t="str">
        <f>Lotes!C224</f>
        <v>Fase 2</v>
      </c>
      <c r="D227" s="76">
        <f>Lotes!D224</f>
        <v>768.91</v>
      </c>
      <c r="E227" s="106">
        <f t="shared" si="29"/>
        <v>600</v>
      </c>
      <c r="F227" s="71">
        <f t="shared" si="30"/>
        <v>168.90999999999997</v>
      </c>
      <c r="G227" s="71">
        <f t="shared" si="31"/>
        <v>0</v>
      </c>
      <c r="H227" s="100">
        <f t="shared" si="32"/>
        <v>329000</v>
      </c>
      <c r="I227" s="107">
        <f>Lotes!J224</f>
        <v>0.03</v>
      </c>
      <c r="J227" s="100">
        <f t="shared" si="33"/>
        <v>338870</v>
      </c>
      <c r="K227" s="100">
        <f t="shared" si="34"/>
        <v>2026.9199999999996</v>
      </c>
      <c r="L227" s="52">
        <f t="shared" si="35"/>
        <v>341000</v>
      </c>
      <c r="M227" s="108">
        <f>Precios!J223</f>
        <v>334221.90000000002</v>
      </c>
      <c r="N227" s="100">
        <f t="shared" si="36"/>
        <v>6778.0999999999767</v>
      </c>
      <c r="O227" s="102">
        <f t="shared" si="37"/>
        <v>2.0280238966985636E-2</v>
      </c>
      <c r="P227" s="77">
        <f>IFERROR(L227/(Precios!D223+Precios!E223),"")</f>
        <v>1538.9892315885436</v>
      </c>
    </row>
    <row r="228" spans="1:16" x14ac:dyDescent="0.25">
      <c r="A228" s="92" t="str">
        <f>Lotes!A225</f>
        <v>E-061</v>
      </c>
      <c r="B228" s="93" t="str">
        <f>Lotes!B225</f>
        <v>T5</v>
      </c>
      <c r="C228" s="93" t="str">
        <f>Lotes!C225</f>
        <v>Fase 2</v>
      </c>
      <c r="D228" s="76">
        <f>Lotes!D225</f>
        <v>817.59</v>
      </c>
      <c r="E228" s="106">
        <f t="shared" si="29"/>
        <v>600</v>
      </c>
      <c r="F228" s="71">
        <f t="shared" si="30"/>
        <v>217.59000000000003</v>
      </c>
      <c r="G228" s="71">
        <f t="shared" si="31"/>
        <v>0</v>
      </c>
      <c r="H228" s="100">
        <f t="shared" si="32"/>
        <v>329000</v>
      </c>
      <c r="I228" s="107">
        <f>Lotes!J225</f>
        <v>1.9999999999999997E-2</v>
      </c>
      <c r="J228" s="100">
        <f t="shared" si="33"/>
        <v>335580</v>
      </c>
      <c r="K228" s="100">
        <f t="shared" si="34"/>
        <v>2611.0800000000004</v>
      </c>
      <c r="L228" s="52">
        <f t="shared" si="35"/>
        <v>338000</v>
      </c>
      <c r="M228" s="108">
        <f>Precios!J224</f>
        <v>335682.30000000005</v>
      </c>
      <c r="N228" s="100">
        <f t="shared" si="36"/>
        <v>2317.6999999999534</v>
      </c>
      <c r="O228" s="102">
        <f t="shared" si="37"/>
        <v>6.9044450660638145E-3</v>
      </c>
      <c r="P228" s="77">
        <f>IFERROR(L228/(Precios!D224+Precios!E224),"")</f>
        <v>1525.4497368824861</v>
      </c>
    </row>
    <row r="229" spans="1:16" x14ac:dyDescent="0.25">
      <c r="A229" s="92" t="str">
        <f>Lotes!A226</f>
        <v>E-062</v>
      </c>
      <c r="B229" s="93" t="str">
        <f>Lotes!B226</f>
        <v>T5</v>
      </c>
      <c r="C229" s="93" t="str">
        <f>Lotes!C226</f>
        <v>Fase 2</v>
      </c>
      <c r="D229" s="76">
        <f>Lotes!D226</f>
        <v>957.12</v>
      </c>
      <c r="E229" s="106">
        <f t="shared" si="29"/>
        <v>600</v>
      </c>
      <c r="F229" s="71">
        <f t="shared" si="30"/>
        <v>357.12</v>
      </c>
      <c r="G229" s="71">
        <f t="shared" si="31"/>
        <v>0</v>
      </c>
      <c r="H229" s="100">
        <f t="shared" si="32"/>
        <v>329000</v>
      </c>
      <c r="I229" s="107">
        <f>Lotes!J226</f>
        <v>0</v>
      </c>
      <c r="J229" s="100">
        <f t="shared" si="33"/>
        <v>329000</v>
      </c>
      <c r="K229" s="100">
        <f t="shared" si="34"/>
        <v>4285.4400000000005</v>
      </c>
      <c r="L229" s="52">
        <f t="shared" si="35"/>
        <v>333000</v>
      </c>
      <c r="M229" s="108">
        <f>Precios!J225</f>
        <v>339868.2</v>
      </c>
      <c r="N229" s="100">
        <f t="shared" si="36"/>
        <v>-6868.2000000000116</v>
      </c>
      <c r="O229" s="102">
        <f t="shared" si="37"/>
        <v>-2.0208421970634532E-2</v>
      </c>
      <c r="P229" s="77">
        <f>IFERROR(L229/(Precios!D225+Precios!E225),"")</f>
        <v>1502.8839123723901</v>
      </c>
    </row>
    <row r="230" spans="1:16" x14ac:dyDescent="0.25">
      <c r="A230" s="92" t="str">
        <f>Lotes!A227</f>
        <v>E-063</v>
      </c>
      <c r="B230" s="93" t="str">
        <f>Lotes!B227</f>
        <v>T5</v>
      </c>
      <c r="C230" s="93" t="str">
        <f>Lotes!C227</f>
        <v>Fase 2</v>
      </c>
      <c r="D230" s="76">
        <f>Lotes!D227</f>
        <v>1101.92</v>
      </c>
      <c r="E230" s="106">
        <f t="shared" si="29"/>
        <v>600</v>
      </c>
      <c r="F230" s="71">
        <f t="shared" si="30"/>
        <v>501.92000000000007</v>
      </c>
      <c r="G230" s="71">
        <f t="shared" si="31"/>
        <v>0</v>
      </c>
      <c r="H230" s="100">
        <f t="shared" si="32"/>
        <v>329000</v>
      </c>
      <c r="I230" s="107">
        <f>Lotes!J227</f>
        <v>9.9999999999999967E-3</v>
      </c>
      <c r="J230" s="100">
        <f t="shared" si="33"/>
        <v>332290</v>
      </c>
      <c r="K230" s="100">
        <f t="shared" si="34"/>
        <v>6023.0400000000009</v>
      </c>
      <c r="L230" s="52">
        <f t="shared" si="35"/>
        <v>338000</v>
      </c>
      <c r="M230" s="108">
        <f>Precios!J226</f>
        <v>344212.20000000007</v>
      </c>
      <c r="N230" s="100">
        <f t="shared" si="36"/>
        <v>-6212.2000000000698</v>
      </c>
      <c r="O230" s="102">
        <f t="shared" si="37"/>
        <v>-1.8047588086651398E-2</v>
      </c>
      <c r="P230" s="77">
        <f>IFERROR(L230/(Precios!D226+Precios!E226),"")</f>
        <v>1525.4497368824861</v>
      </c>
    </row>
    <row r="231" spans="1:16" x14ac:dyDescent="0.25">
      <c r="A231" s="92" t="str">
        <f>Lotes!A228</f>
        <v>E-064</v>
      </c>
      <c r="B231" s="93" t="str">
        <f>Lotes!B228</f>
        <v>T5</v>
      </c>
      <c r="C231" s="93" t="str">
        <f>Lotes!C228</f>
        <v>Fase 2</v>
      </c>
      <c r="D231" s="76">
        <f>Lotes!D228</f>
        <v>745.35</v>
      </c>
      <c r="E231" s="106">
        <f t="shared" si="29"/>
        <v>600</v>
      </c>
      <c r="F231" s="71">
        <f t="shared" si="30"/>
        <v>145.35000000000002</v>
      </c>
      <c r="G231" s="71">
        <f t="shared" si="31"/>
        <v>0</v>
      </c>
      <c r="H231" s="100">
        <f t="shared" si="32"/>
        <v>329000</v>
      </c>
      <c r="I231" s="107">
        <f>Lotes!J228</f>
        <v>0</v>
      </c>
      <c r="J231" s="100">
        <f t="shared" si="33"/>
        <v>329000</v>
      </c>
      <c r="K231" s="100">
        <f t="shared" si="34"/>
        <v>1744.2000000000003</v>
      </c>
      <c r="L231" s="52">
        <f t="shared" si="35"/>
        <v>331000</v>
      </c>
      <c r="M231" s="108">
        <f>Precios!J227</f>
        <v>333515.10000000003</v>
      </c>
      <c r="N231" s="100">
        <f t="shared" si="36"/>
        <v>-2515.1000000000349</v>
      </c>
      <c r="O231" s="102">
        <f t="shared" si="37"/>
        <v>-7.5411877902980548E-3</v>
      </c>
      <c r="P231" s="77">
        <f>IFERROR(L231/(Precios!D227+Precios!E227),"")</f>
        <v>1493.8575825683517</v>
      </c>
    </row>
    <row r="232" spans="1:16" x14ac:dyDescent="0.25">
      <c r="A232" s="92" t="str">
        <f>Lotes!A229</f>
        <v>E-065</v>
      </c>
      <c r="B232" s="93" t="str">
        <f>Lotes!B229</f>
        <v>T5</v>
      </c>
      <c r="C232" s="93" t="str">
        <f>Lotes!C229</f>
        <v>Fase 2</v>
      </c>
      <c r="D232" s="76">
        <f>Lotes!D229</f>
        <v>713.82</v>
      </c>
      <c r="E232" s="106">
        <f t="shared" si="29"/>
        <v>600</v>
      </c>
      <c r="F232" s="71">
        <f t="shared" si="30"/>
        <v>113.82000000000005</v>
      </c>
      <c r="G232" s="71">
        <f t="shared" si="31"/>
        <v>0</v>
      </c>
      <c r="H232" s="100">
        <f t="shared" si="32"/>
        <v>329000</v>
      </c>
      <c r="I232" s="107">
        <f>Lotes!J229</f>
        <v>3.9999999999999994E-2</v>
      </c>
      <c r="J232" s="100">
        <f t="shared" si="33"/>
        <v>342160</v>
      </c>
      <c r="K232" s="100">
        <f t="shared" si="34"/>
        <v>1365.8400000000006</v>
      </c>
      <c r="L232" s="52">
        <f t="shared" si="35"/>
        <v>344000</v>
      </c>
      <c r="M232" s="108">
        <f>Precios!J228</f>
        <v>332569.2</v>
      </c>
      <c r="N232" s="100">
        <f t="shared" si="36"/>
        <v>11430.799999999988</v>
      </c>
      <c r="O232" s="102">
        <f t="shared" si="37"/>
        <v>3.4371192521736794E-2</v>
      </c>
      <c r="P232" s="77">
        <f>IFERROR(L232/(Precios!D228+Precios!E228),"")</f>
        <v>1552.5287262946013</v>
      </c>
    </row>
    <row r="233" spans="1:16" x14ac:dyDescent="0.25">
      <c r="A233" s="92" t="str">
        <f>Lotes!A230</f>
        <v>E-066</v>
      </c>
      <c r="B233" s="93" t="str">
        <f>Lotes!B230</f>
        <v>T5</v>
      </c>
      <c r="C233" s="93" t="str">
        <f>Lotes!C230</f>
        <v>Fase 2</v>
      </c>
      <c r="D233" s="76">
        <f>Lotes!D230</f>
        <v>960.72</v>
      </c>
      <c r="E233" s="106">
        <f t="shared" si="29"/>
        <v>600</v>
      </c>
      <c r="F233" s="71">
        <f t="shared" si="30"/>
        <v>360.72</v>
      </c>
      <c r="G233" s="71">
        <f t="shared" si="31"/>
        <v>0</v>
      </c>
      <c r="H233" s="100">
        <f t="shared" si="32"/>
        <v>329000</v>
      </c>
      <c r="I233" s="107">
        <f>Lotes!J230</f>
        <v>0.05</v>
      </c>
      <c r="J233" s="100">
        <f t="shared" si="33"/>
        <v>345450</v>
      </c>
      <c r="K233" s="100">
        <f t="shared" si="34"/>
        <v>4328.6400000000003</v>
      </c>
      <c r="L233" s="52">
        <f t="shared" si="35"/>
        <v>350000</v>
      </c>
      <c r="M233" s="108">
        <f>Precios!J229</f>
        <v>339976.2</v>
      </c>
      <c r="N233" s="100">
        <f t="shared" si="36"/>
        <v>10023.799999999988</v>
      </c>
      <c r="O233" s="102">
        <f t="shared" si="37"/>
        <v>2.948382857388249E-2</v>
      </c>
      <c r="P233" s="77">
        <f>IFERROR(L233/(Precios!D229+Precios!E229),"")</f>
        <v>1579.6077157067164</v>
      </c>
    </row>
    <row r="234" spans="1:16" x14ac:dyDescent="0.25">
      <c r="A234" s="92" t="str">
        <f>Lotes!A231</f>
        <v>E-067</v>
      </c>
      <c r="B234" s="93" t="str">
        <f>Lotes!B231</f>
        <v>T5</v>
      </c>
      <c r="C234" s="93" t="str">
        <f>Lotes!C231</f>
        <v>Fase 2</v>
      </c>
      <c r="D234" s="76">
        <f>Lotes!D231</f>
        <v>968</v>
      </c>
      <c r="E234" s="106">
        <f t="shared" si="29"/>
        <v>600</v>
      </c>
      <c r="F234" s="71">
        <f t="shared" si="30"/>
        <v>368</v>
      </c>
      <c r="G234" s="71">
        <f t="shared" si="31"/>
        <v>0</v>
      </c>
      <c r="H234" s="100">
        <f t="shared" si="32"/>
        <v>329000</v>
      </c>
      <c r="I234" s="107">
        <f>Lotes!J231</f>
        <v>0.04</v>
      </c>
      <c r="J234" s="100">
        <f t="shared" si="33"/>
        <v>342160</v>
      </c>
      <c r="K234" s="100">
        <f t="shared" si="34"/>
        <v>4416</v>
      </c>
      <c r="L234" s="52">
        <f t="shared" si="35"/>
        <v>347000</v>
      </c>
      <c r="M234" s="108">
        <f>Precios!J230</f>
        <v>340194.60000000003</v>
      </c>
      <c r="N234" s="100">
        <f t="shared" si="36"/>
        <v>6805.3999999999651</v>
      </c>
      <c r="O234" s="102">
        <f t="shared" si="37"/>
        <v>2.0004432757016025E-2</v>
      </c>
      <c r="P234" s="77">
        <f>IFERROR(L234/(Precios!D230+Precios!E230),"")</f>
        <v>1566.0682210006589</v>
      </c>
    </row>
    <row r="235" spans="1:16" x14ac:dyDescent="0.25">
      <c r="A235" s="92" t="str">
        <f>Lotes!A232</f>
        <v>E-068</v>
      </c>
      <c r="B235" s="93" t="str">
        <f>Lotes!B232</f>
        <v>T5</v>
      </c>
      <c r="C235" s="93" t="str">
        <f>Lotes!C232</f>
        <v>Fase 2</v>
      </c>
      <c r="D235" s="76">
        <f>Lotes!D232</f>
        <v>793.52</v>
      </c>
      <c r="E235" s="106">
        <f t="shared" si="29"/>
        <v>600</v>
      </c>
      <c r="F235" s="71">
        <f t="shared" si="30"/>
        <v>193.51999999999998</v>
      </c>
      <c r="G235" s="71">
        <f t="shared" si="31"/>
        <v>0</v>
      </c>
      <c r="H235" s="100">
        <f t="shared" si="32"/>
        <v>329000</v>
      </c>
      <c r="I235" s="107">
        <f>Lotes!J232</f>
        <v>4.9999999999999996E-2</v>
      </c>
      <c r="J235" s="100">
        <f t="shared" si="33"/>
        <v>345450</v>
      </c>
      <c r="K235" s="100">
        <f t="shared" si="34"/>
        <v>2322.2399999999998</v>
      </c>
      <c r="L235" s="52">
        <f t="shared" si="35"/>
        <v>348000</v>
      </c>
      <c r="M235" s="108">
        <f>Precios!J231</f>
        <v>334960.2</v>
      </c>
      <c r="N235" s="100">
        <f t="shared" si="36"/>
        <v>13039.799999999988</v>
      </c>
      <c r="O235" s="102">
        <f t="shared" si="37"/>
        <v>3.892940116467565E-2</v>
      </c>
      <c r="P235" s="77">
        <f>IFERROR(L235/(Precios!D231+Precios!E231),"")</f>
        <v>1570.581385902678</v>
      </c>
    </row>
    <row r="236" spans="1:16" x14ac:dyDescent="0.25">
      <c r="A236" s="92" t="str">
        <f>Lotes!A233</f>
        <v>E-069</v>
      </c>
      <c r="B236" s="93" t="str">
        <f>Lotes!B233</f>
        <v>T5</v>
      </c>
      <c r="C236" s="93" t="str">
        <f>Lotes!C233</f>
        <v>Fase 2</v>
      </c>
      <c r="D236" s="76">
        <f>Lotes!D233</f>
        <v>936.99</v>
      </c>
      <c r="E236" s="106">
        <f t="shared" si="29"/>
        <v>600</v>
      </c>
      <c r="F236" s="71">
        <f t="shared" si="30"/>
        <v>336.99</v>
      </c>
      <c r="G236" s="71">
        <f t="shared" si="31"/>
        <v>0</v>
      </c>
      <c r="H236" s="100">
        <f t="shared" si="32"/>
        <v>329000</v>
      </c>
      <c r="I236" s="107">
        <f>Lotes!J233</f>
        <v>0</v>
      </c>
      <c r="J236" s="100">
        <f t="shared" si="33"/>
        <v>329000</v>
      </c>
      <c r="K236" s="100">
        <f t="shared" si="34"/>
        <v>4043.88</v>
      </c>
      <c r="L236" s="52">
        <f t="shared" si="35"/>
        <v>333000</v>
      </c>
      <c r="M236" s="108">
        <f>Precios!J232</f>
        <v>339264.30000000005</v>
      </c>
      <c r="N236" s="100">
        <f t="shared" si="36"/>
        <v>-6264.3000000000466</v>
      </c>
      <c r="O236" s="102">
        <f t="shared" si="37"/>
        <v>-1.8464365392999043E-2</v>
      </c>
      <c r="P236" s="77">
        <f>IFERROR(L236/(Precios!D232+Precios!E232),"")</f>
        <v>1502.8839123723901</v>
      </c>
    </row>
    <row r="237" spans="1:16" x14ac:dyDescent="0.25">
      <c r="A237" s="92" t="str">
        <f>Lotes!A234</f>
        <v>E-070</v>
      </c>
      <c r="B237" s="93" t="str">
        <f>Lotes!B234</f>
        <v>T5</v>
      </c>
      <c r="C237" s="93" t="str">
        <f>Lotes!C234</f>
        <v>Fase 2</v>
      </c>
      <c r="D237" s="76">
        <f>Lotes!D234</f>
        <v>865.64</v>
      </c>
      <c r="E237" s="106">
        <f t="shared" si="29"/>
        <v>600</v>
      </c>
      <c r="F237" s="71">
        <f t="shared" si="30"/>
        <v>265.64</v>
      </c>
      <c r="G237" s="71">
        <f t="shared" si="31"/>
        <v>0</v>
      </c>
      <c r="H237" s="100">
        <f t="shared" si="32"/>
        <v>329000</v>
      </c>
      <c r="I237" s="107">
        <f>Lotes!J234</f>
        <v>4.0000000000000008E-2</v>
      </c>
      <c r="J237" s="100">
        <f t="shared" si="33"/>
        <v>342160</v>
      </c>
      <c r="K237" s="100">
        <f t="shared" si="34"/>
        <v>3187.68</v>
      </c>
      <c r="L237" s="52">
        <f t="shared" si="35"/>
        <v>345000</v>
      </c>
      <c r="M237" s="108">
        <f>Precios!J233</f>
        <v>337123.80000000005</v>
      </c>
      <c r="N237" s="100">
        <f t="shared" si="36"/>
        <v>7876.1999999999534</v>
      </c>
      <c r="O237" s="102">
        <f t="shared" si="37"/>
        <v>2.3362930769052652E-2</v>
      </c>
      <c r="P237" s="77">
        <f>IFERROR(L237/(Precios!D233+Precios!E233),"")</f>
        <v>1557.0418911966206</v>
      </c>
    </row>
    <row r="238" spans="1:16" x14ac:dyDescent="0.25">
      <c r="A238" s="92" t="str">
        <f>Lotes!A235</f>
        <v>E-071</v>
      </c>
      <c r="B238" s="93" t="str">
        <f>Lotes!B235</f>
        <v>T5</v>
      </c>
      <c r="C238" s="93" t="str">
        <f>Lotes!C235</f>
        <v>Fase 2</v>
      </c>
      <c r="D238" s="76">
        <f>Lotes!D235</f>
        <v>684.97</v>
      </c>
      <c r="E238" s="106">
        <f t="shared" si="29"/>
        <v>600</v>
      </c>
      <c r="F238" s="71">
        <f t="shared" si="30"/>
        <v>84.970000000000027</v>
      </c>
      <c r="G238" s="71">
        <f t="shared" si="31"/>
        <v>0</v>
      </c>
      <c r="H238" s="100">
        <f t="shared" si="32"/>
        <v>329000</v>
      </c>
      <c r="I238" s="107">
        <f>Lotes!J235</f>
        <v>-0.03</v>
      </c>
      <c r="J238" s="100">
        <f t="shared" si="33"/>
        <v>319130</v>
      </c>
      <c r="K238" s="100">
        <f t="shared" si="34"/>
        <v>1019.6400000000003</v>
      </c>
      <c r="L238" s="52">
        <f t="shared" si="35"/>
        <v>320000</v>
      </c>
      <c r="M238" s="108">
        <f>Precios!J234</f>
        <v>331703.7</v>
      </c>
      <c r="N238" s="100">
        <f t="shared" si="36"/>
        <v>-11703.700000000012</v>
      </c>
      <c r="O238" s="102">
        <f t="shared" si="37"/>
        <v>-3.5283597982175091E-2</v>
      </c>
      <c r="P238" s="77">
        <f>IFERROR(L238/(Precios!D234+Precios!E234),"")</f>
        <v>1444.2127686461406</v>
      </c>
    </row>
    <row r="239" spans="1:16" x14ac:dyDescent="0.25">
      <c r="A239" s="92" t="str">
        <f>Lotes!A236</f>
        <v>E-072</v>
      </c>
      <c r="B239" s="93" t="str">
        <f>Lotes!B236</f>
        <v>T5</v>
      </c>
      <c r="C239" s="93" t="str">
        <f>Lotes!C236</f>
        <v>Fase 2</v>
      </c>
      <c r="D239" s="76">
        <f>Lotes!D236</f>
        <v>680.29</v>
      </c>
      <c r="E239" s="106">
        <f t="shared" si="29"/>
        <v>600</v>
      </c>
      <c r="F239" s="71">
        <f t="shared" si="30"/>
        <v>80.289999999999964</v>
      </c>
      <c r="G239" s="71">
        <f t="shared" si="31"/>
        <v>0</v>
      </c>
      <c r="H239" s="100">
        <f t="shared" si="32"/>
        <v>329000</v>
      </c>
      <c r="I239" s="107">
        <f>Lotes!J236</f>
        <v>1.9999999999999997E-2</v>
      </c>
      <c r="J239" s="100">
        <f t="shared" si="33"/>
        <v>335580</v>
      </c>
      <c r="K239" s="100">
        <f t="shared" si="34"/>
        <v>963.47999999999956</v>
      </c>
      <c r="L239" s="52">
        <f t="shared" si="35"/>
        <v>337000</v>
      </c>
      <c r="M239" s="108">
        <f>Precios!J235</f>
        <v>331563.30000000005</v>
      </c>
      <c r="N239" s="100">
        <f t="shared" si="36"/>
        <v>5436.6999999999534</v>
      </c>
      <c r="O239" s="102">
        <f t="shared" si="37"/>
        <v>1.6397170615686213E-2</v>
      </c>
      <c r="P239" s="77">
        <f>IFERROR(L239/(Precios!D235+Precios!E235),"")</f>
        <v>1520.9365719804669</v>
      </c>
    </row>
    <row r="240" spans="1:16" x14ac:dyDescent="0.25">
      <c r="A240" s="92" t="str">
        <f>Lotes!A237</f>
        <v>E-073</v>
      </c>
      <c r="B240" s="93" t="str">
        <f>Lotes!B237</f>
        <v>T5</v>
      </c>
      <c r="C240" s="93" t="str">
        <f>Lotes!C237</f>
        <v>Fase 2</v>
      </c>
      <c r="D240" s="76">
        <f>Lotes!D237</f>
        <v>611.85</v>
      </c>
      <c r="E240" s="106">
        <f t="shared" si="29"/>
        <v>600</v>
      </c>
      <c r="F240" s="71">
        <f t="shared" si="30"/>
        <v>11.850000000000023</v>
      </c>
      <c r="G240" s="71">
        <f t="shared" si="31"/>
        <v>0</v>
      </c>
      <c r="H240" s="100">
        <f t="shared" si="32"/>
        <v>329000</v>
      </c>
      <c r="I240" s="107">
        <f>Lotes!J237</f>
        <v>0.02</v>
      </c>
      <c r="J240" s="100">
        <f t="shared" si="33"/>
        <v>335580</v>
      </c>
      <c r="K240" s="100">
        <f t="shared" si="34"/>
        <v>142.20000000000027</v>
      </c>
      <c r="L240" s="52">
        <f t="shared" si="35"/>
        <v>336000</v>
      </c>
      <c r="M240" s="108">
        <f>Precios!J236</f>
        <v>329510.10000000003</v>
      </c>
      <c r="N240" s="100">
        <f t="shared" si="36"/>
        <v>6489.8999999999651</v>
      </c>
      <c r="O240" s="102">
        <f t="shared" si="37"/>
        <v>1.9695602653757697E-2</v>
      </c>
      <c r="P240" s="77">
        <f>IFERROR(L240/(Precios!D236+Precios!E236),"")</f>
        <v>1516.4234070784478</v>
      </c>
    </row>
    <row r="241" spans="1:16" x14ac:dyDescent="0.25">
      <c r="A241" s="92" t="str">
        <f>Lotes!A238</f>
        <v>E-074</v>
      </c>
      <c r="B241" s="93" t="str">
        <f>Lotes!B238</f>
        <v>T5</v>
      </c>
      <c r="C241" s="93" t="str">
        <f>Lotes!C238</f>
        <v>Fase 2</v>
      </c>
      <c r="D241" s="76">
        <f>Lotes!D238</f>
        <v>670.33</v>
      </c>
      <c r="E241" s="106">
        <f t="shared" si="29"/>
        <v>600</v>
      </c>
      <c r="F241" s="71">
        <f t="shared" si="30"/>
        <v>70.330000000000041</v>
      </c>
      <c r="G241" s="71">
        <f t="shared" si="31"/>
        <v>0</v>
      </c>
      <c r="H241" s="100">
        <f t="shared" si="32"/>
        <v>329000</v>
      </c>
      <c r="I241" s="107">
        <f>Lotes!J238</f>
        <v>1.9999999999999997E-2</v>
      </c>
      <c r="J241" s="100">
        <f t="shared" si="33"/>
        <v>335580</v>
      </c>
      <c r="K241" s="100">
        <f t="shared" si="34"/>
        <v>843.96000000000049</v>
      </c>
      <c r="L241" s="52">
        <f t="shared" si="35"/>
        <v>336000</v>
      </c>
      <c r="M241" s="108">
        <f>Precios!J237</f>
        <v>331264.50000000006</v>
      </c>
      <c r="N241" s="100">
        <f t="shared" si="36"/>
        <v>4735.4999999999418</v>
      </c>
      <c r="O241" s="102">
        <f t="shared" si="37"/>
        <v>1.4295223303432577E-2</v>
      </c>
      <c r="P241" s="77">
        <f>IFERROR(L241/(Precios!D237+Precios!E237),"")</f>
        <v>1516.4234070784478</v>
      </c>
    </row>
    <row r="242" spans="1:16" x14ac:dyDescent="0.25">
      <c r="A242" s="92" t="str">
        <f>Lotes!A239</f>
        <v>E-075</v>
      </c>
      <c r="B242" s="93" t="str">
        <f>Lotes!B239</f>
        <v>T5</v>
      </c>
      <c r="C242" s="93" t="str">
        <f>Lotes!C239</f>
        <v>Fase 2</v>
      </c>
      <c r="D242" s="76">
        <f>Lotes!D239</f>
        <v>658.73</v>
      </c>
      <c r="E242" s="106">
        <f t="shared" si="29"/>
        <v>600</v>
      </c>
      <c r="F242" s="71">
        <f t="shared" si="30"/>
        <v>58.730000000000018</v>
      </c>
      <c r="G242" s="71">
        <f t="shared" si="31"/>
        <v>0</v>
      </c>
      <c r="H242" s="100">
        <f t="shared" si="32"/>
        <v>329000</v>
      </c>
      <c r="I242" s="107">
        <f>Lotes!J239</f>
        <v>1.9999999999999997E-2</v>
      </c>
      <c r="J242" s="100">
        <f t="shared" si="33"/>
        <v>335580</v>
      </c>
      <c r="K242" s="100">
        <f t="shared" si="34"/>
        <v>704.76000000000022</v>
      </c>
      <c r="L242" s="52">
        <f t="shared" si="35"/>
        <v>336000</v>
      </c>
      <c r="M242" s="108">
        <f>Precios!J238</f>
        <v>330916.50000000006</v>
      </c>
      <c r="N242" s="100">
        <f t="shared" si="36"/>
        <v>5083.4999999999418</v>
      </c>
      <c r="O242" s="102">
        <f t="shared" si="37"/>
        <v>1.5361881320514211E-2</v>
      </c>
      <c r="P242" s="77">
        <f>IFERROR(L242/(Precios!D238+Precios!E238),"")</f>
        <v>1516.4234070784478</v>
      </c>
    </row>
    <row r="243" spans="1:16" x14ac:dyDescent="0.25">
      <c r="A243" s="92" t="str">
        <f>Lotes!A240</f>
        <v>E-076</v>
      </c>
      <c r="B243" s="93" t="str">
        <f>Lotes!B240</f>
        <v>T5</v>
      </c>
      <c r="C243" s="93" t="str">
        <f>Lotes!C240</f>
        <v>Fase 2</v>
      </c>
      <c r="D243" s="76">
        <f>Lotes!D240</f>
        <v>700.16</v>
      </c>
      <c r="E243" s="106">
        <f t="shared" si="29"/>
        <v>600</v>
      </c>
      <c r="F243" s="71">
        <f t="shared" si="30"/>
        <v>100.15999999999997</v>
      </c>
      <c r="G243" s="71">
        <f t="shared" si="31"/>
        <v>0</v>
      </c>
      <c r="H243" s="100">
        <f t="shared" si="32"/>
        <v>329000</v>
      </c>
      <c r="I243" s="107">
        <f>Lotes!J240</f>
        <v>0</v>
      </c>
      <c r="J243" s="100">
        <f t="shared" si="33"/>
        <v>329000</v>
      </c>
      <c r="K243" s="100">
        <f t="shared" si="34"/>
        <v>1201.9199999999996</v>
      </c>
      <c r="L243" s="52">
        <f t="shared" si="35"/>
        <v>330000</v>
      </c>
      <c r="M243" s="108">
        <f>Precios!J239</f>
        <v>332159.40000000002</v>
      </c>
      <c r="N243" s="100">
        <f t="shared" si="36"/>
        <v>-2159.4000000000233</v>
      </c>
      <c r="O243" s="102">
        <f t="shared" si="37"/>
        <v>-6.5010955583374224E-3</v>
      </c>
      <c r="P243" s="77">
        <f>IFERROR(L243/(Precios!D239+Precios!E239),"")</f>
        <v>1489.3444176663327</v>
      </c>
    </row>
    <row r="244" spans="1:16" x14ac:dyDescent="0.25">
      <c r="A244" s="92" t="str">
        <f>Lotes!A241</f>
        <v>E-077</v>
      </c>
      <c r="B244" s="93" t="str">
        <f>Lotes!B241</f>
        <v>T5</v>
      </c>
      <c r="C244" s="93" t="str">
        <f>Lotes!C241</f>
        <v>Fase 2</v>
      </c>
      <c r="D244" s="76">
        <f>Lotes!D241</f>
        <v>643.6</v>
      </c>
      <c r="E244" s="106">
        <f t="shared" si="29"/>
        <v>600</v>
      </c>
      <c r="F244" s="71">
        <f t="shared" si="30"/>
        <v>43.600000000000023</v>
      </c>
      <c r="G244" s="71">
        <f t="shared" si="31"/>
        <v>0</v>
      </c>
      <c r="H244" s="100">
        <f t="shared" si="32"/>
        <v>329000</v>
      </c>
      <c r="I244" s="107">
        <f>Lotes!J241</f>
        <v>7.0000000000000007E-2</v>
      </c>
      <c r="J244" s="100">
        <f t="shared" si="33"/>
        <v>352030</v>
      </c>
      <c r="K244" s="100">
        <f t="shared" si="34"/>
        <v>523.20000000000027</v>
      </c>
      <c r="L244" s="52">
        <f t="shared" si="35"/>
        <v>353000</v>
      </c>
      <c r="M244" s="108">
        <f>Precios!J240</f>
        <v>330462.60000000003</v>
      </c>
      <c r="N244" s="100">
        <f t="shared" si="36"/>
        <v>22537.399999999965</v>
      </c>
      <c r="O244" s="102">
        <f t="shared" si="37"/>
        <v>6.8199548148564965E-2</v>
      </c>
      <c r="P244" s="77">
        <f>IFERROR(L244/(Precios!D240+Precios!E240),"")</f>
        <v>1593.147210412774</v>
      </c>
    </row>
    <row r="245" spans="1:16" x14ac:dyDescent="0.25">
      <c r="A245" s="92" t="str">
        <f>Lotes!A242</f>
        <v>E-078</v>
      </c>
      <c r="B245" s="93" t="str">
        <f>Lotes!B242</f>
        <v>T5</v>
      </c>
      <c r="C245" s="93" t="str">
        <f>Lotes!C242</f>
        <v>Fase 2</v>
      </c>
      <c r="D245" s="76">
        <f>Lotes!D242</f>
        <v>644.4</v>
      </c>
      <c r="E245" s="106">
        <f t="shared" si="29"/>
        <v>600</v>
      </c>
      <c r="F245" s="71">
        <f t="shared" si="30"/>
        <v>44.399999999999977</v>
      </c>
      <c r="G245" s="71">
        <f t="shared" si="31"/>
        <v>0</v>
      </c>
      <c r="H245" s="100">
        <f t="shared" si="32"/>
        <v>329000</v>
      </c>
      <c r="I245" s="107">
        <f>Lotes!J242</f>
        <v>2.0000000000000004E-2</v>
      </c>
      <c r="J245" s="100">
        <f t="shared" si="33"/>
        <v>335580</v>
      </c>
      <c r="K245" s="100">
        <f t="shared" si="34"/>
        <v>532.79999999999973</v>
      </c>
      <c r="L245" s="52">
        <f t="shared" si="35"/>
        <v>336000</v>
      </c>
      <c r="M245" s="108">
        <f>Precios!J241</f>
        <v>330486.60000000003</v>
      </c>
      <c r="N245" s="100">
        <f t="shared" si="36"/>
        <v>5513.3999999999651</v>
      </c>
      <c r="O245" s="102">
        <f t="shared" si="37"/>
        <v>1.668267336708951E-2</v>
      </c>
      <c r="P245" s="77">
        <f>IFERROR(L245/(Precios!D241+Precios!E241),"")</f>
        <v>1516.4234070784478</v>
      </c>
    </row>
    <row r="246" spans="1:16" x14ac:dyDescent="0.25">
      <c r="A246" s="92" t="str">
        <f>Lotes!A243</f>
        <v>E-079</v>
      </c>
      <c r="B246" s="93" t="str">
        <f>Lotes!B243</f>
        <v>T5</v>
      </c>
      <c r="C246" s="93" t="str">
        <f>Lotes!C243</f>
        <v>Fase 2</v>
      </c>
      <c r="D246" s="76">
        <f>Lotes!D243</f>
        <v>656.97</v>
      </c>
      <c r="E246" s="106">
        <f t="shared" si="29"/>
        <v>600</v>
      </c>
      <c r="F246" s="71">
        <f t="shared" si="30"/>
        <v>56.970000000000027</v>
      </c>
      <c r="G246" s="71">
        <f t="shared" si="31"/>
        <v>0</v>
      </c>
      <c r="H246" s="100">
        <f t="shared" si="32"/>
        <v>329000</v>
      </c>
      <c r="I246" s="107">
        <f>Lotes!J243</f>
        <v>0.05</v>
      </c>
      <c r="J246" s="100">
        <f t="shared" si="33"/>
        <v>345450</v>
      </c>
      <c r="K246" s="100">
        <f t="shared" si="34"/>
        <v>683.64000000000033</v>
      </c>
      <c r="L246" s="52">
        <f t="shared" si="35"/>
        <v>346000</v>
      </c>
      <c r="M246" s="108">
        <f>Precios!J242</f>
        <v>330863.7</v>
      </c>
      <c r="N246" s="100">
        <f t="shared" si="36"/>
        <v>15136.299999999988</v>
      </c>
      <c r="O246" s="102">
        <f t="shared" si="37"/>
        <v>4.5747841180522338E-2</v>
      </c>
      <c r="P246" s="77">
        <f>IFERROR(L246/(Precios!D242+Precios!E242),"")</f>
        <v>1561.5550560986396</v>
      </c>
    </row>
    <row r="247" spans="1:16" x14ac:dyDescent="0.25">
      <c r="A247" s="78" t="s">
        <v>91</v>
      </c>
      <c r="B247" s="89">
        <f>COUNTA(A14:A246)</f>
        <v>233</v>
      </c>
      <c r="C247" s="110"/>
      <c r="D247" s="80">
        <f>SUM(D14:D246)</f>
        <v>183472.78999999998</v>
      </c>
      <c r="E247" s="110"/>
      <c r="F247" s="80">
        <f>SUM(F14:F246)</f>
        <v>31881.790000000015</v>
      </c>
      <c r="G247" s="80">
        <f>SUM(G14:G246)</f>
        <v>2208.9999999999986</v>
      </c>
      <c r="H247" s="110"/>
      <c r="I247" s="111">
        <f>AVERAGE(I14:I246)</f>
        <v>2.9699570815450594E-2</v>
      </c>
      <c r="J247" s="103">
        <f>SUM(J14:J246)</f>
        <v>86915080</v>
      </c>
      <c r="K247" s="103">
        <f>SUM(K14:K246)</f>
        <v>382581.48000000016</v>
      </c>
      <c r="L247" s="104">
        <f>SUM(L14:L246)</f>
        <v>87293000</v>
      </c>
      <c r="M247" s="103">
        <f>SUM(M14:M246)</f>
        <v>85299216.300000012</v>
      </c>
      <c r="N247" s="103">
        <f>SUM(N14:N246)</f>
        <v>1993783.699999999</v>
      </c>
      <c r="O247" s="105">
        <f t="shared" si="37"/>
        <v>2.3373997868723663E-2</v>
      </c>
      <c r="P247" s="81">
        <f>IFERROR(L247/(Precios!D243+Precios!E243),"")</f>
        <v>1603.5817004788635</v>
      </c>
    </row>
  </sheetData>
  <mergeCells count="5">
    <mergeCell ref="A2:P2"/>
    <mergeCell ref="G5:J5"/>
    <mergeCell ref="G6:J6"/>
    <mergeCell ref="G7:J7"/>
    <mergeCell ref="G8:J8"/>
  </mergeCells>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A1A1A"/>
  </sheetPr>
  <dimension ref="A1:E1000"/>
  <sheetViews>
    <sheetView showGridLines="0" zoomScaleNormal="100" workbookViewId="0">
      <pane ySplit="2" topLeftCell="A3" activePane="bottomLeft" state="frozen"/>
      <selection pane="bottomLeft" activeCell="B4" sqref="B4"/>
    </sheetView>
  </sheetViews>
  <sheetFormatPr baseColWidth="10" defaultColWidth="14.42578125" defaultRowHeight="15" x14ac:dyDescent="0.25"/>
  <cols>
    <col min="1" max="1" width="34" customWidth="1"/>
    <col min="2" max="2" width="18" customWidth="1"/>
    <col min="3" max="3" width="14" customWidth="1"/>
    <col min="4" max="4" width="20" customWidth="1"/>
    <col min="5" max="5" width="34" customWidth="1"/>
    <col min="6" max="26" width="8.7109375" customWidth="1"/>
  </cols>
  <sheetData>
    <row r="1" spans="1:5" ht="15" customHeight="1" x14ac:dyDescent="0.25">
      <c r="A1" s="129" t="s">
        <v>675</v>
      </c>
      <c r="B1" s="129"/>
      <c r="C1" s="129"/>
      <c r="D1" s="129"/>
      <c r="E1" s="129"/>
    </row>
    <row r="2" spans="1:5" ht="15" customHeight="1" x14ac:dyDescent="0.25">
      <c r="A2" s="15" t="s">
        <v>676</v>
      </c>
      <c r="B2" s="15" t="s">
        <v>648</v>
      </c>
      <c r="C2" s="15" t="s">
        <v>677</v>
      </c>
      <c r="D2" s="15" t="s">
        <v>678</v>
      </c>
      <c r="E2" s="15" t="s">
        <v>65</v>
      </c>
    </row>
    <row r="3" spans="1:5" ht="15" customHeight="1" x14ac:dyDescent="0.25">
      <c r="A3" s="130" t="s">
        <v>679</v>
      </c>
      <c r="B3" s="130"/>
      <c r="C3" s="130"/>
      <c r="D3" s="130"/>
      <c r="E3" s="130"/>
    </row>
    <row r="4" spans="1:5" ht="24" customHeight="1" x14ac:dyDescent="0.25">
      <c r="A4" s="17" t="s">
        <v>680</v>
      </c>
      <c r="B4" s="112" t="s">
        <v>681</v>
      </c>
      <c r="C4" s="113"/>
      <c r="D4" s="114" t="s">
        <v>682</v>
      </c>
      <c r="E4" s="115" t="s">
        <v>683</v>
      </c>
    </row>
    <row r="5" spans="1:5" ht="24" customHeight="1" x14ac:dyDescent="0.25">
      <c r="A5" s="17" t="s">
        <v>684</v>
      </c>
      <c r="B5" s="112"/>
      <c r="C5" s="113" t="s">
        <v>685</v>
      </c>
      <c r="D5" s="114" t="s">
        <v>682</v>
      </c>
      <c r="E5" s="115" t="s">
        <v>686</v>
      </c>
    </row>
    <row r="6" spans="1:5" ht="24" customHeight="1" x14ac:dyDescent="0.25">
      <c r="A6" s="17" t="s">
        <v>687</v>
      </c>
      <c r="B6" s="112"/>
      <c r="C6" s="113" t="s">
        <v>681</v>
      </c>
      <c r="D6" s="114" t="s">
        <v>682</v>
      </c>
      <c r="E6" s="115" t="s">
        <v>688</v>
      </c>
    </row>
    <row r="7" spans="1:5" ht="24" customHeight="1" x14ac:dyDescent="0.25">
      <c r="A7" s="17" t="s">
        <v>689</v>
      </c>
      <c r="B7" s="112"/>
      <c r="C7" s="113" t="s">
        <v>690</v>
      </c>
      <c r="D7" s="114" t="s">
        <v>682</v>
      </c>
      <c r="E7" s="115"/>
    </row>
    <row r="8" spans="1:5" ht="24" customHeight="1" x14ac:dyDescent="0.25">
      <c r="A8" s="17" t="s">
        <v>691</v>
      </c>
      <c r="B8" s="116"/>
      <c r="C8" s="113" t="s">
        <v>692</v>
      </c>
      <c r="D8" s="114" t="s">
        <v>682</v>
      </c>
      <c r="E8" s="115"/>
    </row>
    <row r="9" spans="1:5" ht="24" customHeight="1" x14ac:dyDescent="0.25">
      <c r="A9" s="17" t="s">
        <v>693</v>
      </c>
      <c r="B9" s="116"/>
      <c r="C9" s="113" t="s">
        <v>692</v>
      </c>
      <c r="D9" s="114" t="s">
        <v>682</v>
      </c>
      <c r="E9" s="115" t="s">
        <v>694</v>
      </c>
    </row>
    <row r="10" spans="1:5" ht="24" customHeight="1" x14ac:dyDescent="0.25">
      <c r="A10" s="17" t="s">
        <v>695</v>
      </c>
      <c r="B10" s="116"/>
      <c r="C10" s="113" t="s">
        <v>692</v>
      </c>
      <c r="D10" s="114" t="s">
        <v>682</v>
      </c>
      <c r="E10" s="115"/>
    </row>
    <row r="11" spans="1:5" ht="24" customHeight="1" x14ac:dyDescent="0.25">
      <c r="A11" s="17" t="s">
        <v>696</v>
      </c>
      <c r="B11" s="116"/>
      <c r="C11" s="113" t="s">
        <v>692</v>
      </c>
      <c r="D11" s="114" t="s">
        <v>682</v>
      </c>
      <c r="E11" s="115" t="s">
        <v>697</v>
      </c>
    </row>
    <row r="12" spans="1:5" ht="24" customHeight="1" x14ac:dyDescent="0.25">
      <c r="A12" s="17" t="s">
        <v>698</v>
      </c>
      <c r="B12" s="112"/>
      <c r="C12" s="113" t="s">
        <v>699</v>
      </c>
      <c r="D12" s="114" t="s">
        <v>682</v>
      </c>
      <c r="E12" s="115" t="s">
        <v>700</v>
      </c>
    </row>
    <row r="13" spans="1:5" ht="24" customHeight="1" x14ac:dyDescent="0.25">
      <c r="A13" s="17" t="s">
        <v>701</v>
      </c>
      <c r="B13" s="116"/>
      <c r="C13" s="113" t="s">
        <v>692</v>
      </c>
      <c r="D13" s="114" t="s">
        <v>682</v>
      </c>
      <c r="E13" s="115"/>
    </row>
    <row r="14" spans="1:5" ht="24" customHeight="1" x14ac:dyDescent="0.25">
      <c r="A14" s="17" t="s">
        <v>702</v>
      </c>
      <c r="B14" s="112"/>
      <c r="C14" s="113" t="s">
        <v>699</v>
      </c>
      <c r="D14" s="114" t="s">
        <v>682</v>
      </c>
      <c r="E14" s="115" t="s">
        <v>703</v>
      </c>
    </row>
    <row r="15" spans="1:5" ht="24" customHeight="1" x14ac:dyDescent="0.25">
      <c r="A15" s="17" t="s">
        <v>704</v>
      </c>
      <c r="B15" s="112"/>
      <c r="C15" s="113" t="s">
        <v>705</v>
      </c>
      <c r="D15" s="114" t="s">
        <v>682</v>
      </c>
      <c r="E15" s="115" t="s">
        <v>706</v>
      </c>
    </row>
    <row r="16" spans="1:5" ht="15" customHeight="1" x14ac:dyDescent="0.25">
      <c r="A16" s="130" t="s">
        <v>707</v>
      </c>
      <c r="B16" s="130"/>
      <c r="C16" s="130"/>
      <c r="D16" s="130"/>
      <c r="E16" s="130"/>
    </row>
    <row r="17" spans="1:5" ht="24" customHeight="1" x14ac:dyDescent="0.25">
      <c r="A17" s="17" t="s">
        <v>708</v>
      </c>
      <c r="B17" s="112"/>
      <c r="C17" s="113" t="s">
        <v>709</v>
      </c>
      <c r="D17" s="114" t="s">
        <v>682</v>
      </c>
      <c r="E17" s="115"/>
    </row>
    <row r="18" spans="1:5" ht="24" customHeight="1" x14ac:dyDescent="0.25">
      <c r="A18" s="17" t="s">
        <v>710</v>
      </c>
      <c r="B18" s="117"/>
      <c r="C18" s="113" t="s">
        <v>681</v>
      </c>
      <c r="D18" s="114" t="s">
        <v>682</v>
      </c>
      <c r="E18" s="115"/>
    </row>
    <row r="19" spans="1:5" ht="24" customHeight="1" x14ac:dyDescent="0.25">
      <c r="A19" s="17" t="s">
        <v>711</v>
      </c>
      <c r="B19" s="116">
        <v>0.3</v>
      </c>
      <c r="C19" s="113" t="s">
        <v>692</v>
      </c>
      <c r="D19" s="114" t="s">
        <v>682</v>
      </c>
      <c r="E19" s="115" t="s">
        <v>712</v>
      </c>
    </row>
    <row r="20" spans="1:5" ht="24" customHeight="1" x14ac:dyDescent="0.25">
      <c r="A20" s="17" t="s">
        <v>713</v>
      </c>
      <c r="B20" s="116"/>
      <c r="C20" s="113" t="s">
        <v>692</v>
      </c>
      <c r="D20" s="114" t="s">
        <v>682</v>
      </c>
      <c r="E20" s="115" t="s">
        <v>714</v>
      </c>
    </row>
    <row r="21" spans="1:5" ht="24" customHeight="1" x14ac:dyDescent="0.25">
      <c r="A21" s="17" t="s">
        <v>715</v>
      </c>
      <c r="B21" s="117"/>
      <c r="C21" s="113" t="s">
        <v>681</v>
      </c>
      <c r="D21" s="114" t="s">
        <v>682</v>
      </c>
      <c r="E21" s="115" t="s">
        <v>716</v>
      </c>
    </row>
    <row r="22" spans="1:5" ht="15.75" customHeight="1" x14ac:dyDescent="0.25">
      <c r="A22" s="130" t="s">
        <v>717</v>
      </c>
      <c r="B22" s="130"/>
      <c r="C22" s="130"/>
      <c r="D22" s="130"/>
      <c r="E22" s="130"/>
    </row>
    <row r="23" spans="1:5" ht="24" customHeight="1" x14ac:dyDescent="0.25">
      <c r="A23" s="17" t="s">
        <v>718</v>
      </c>
      <c r="B23" s="112"/>
      <c r="C23" s="113" t="s">
        <v>719</v>
      </c>
      <c r="D23" s="114" t="s">
        <v>720</v>
      </c>
      <c r="E23" s="115" t="s">
        <v>721</v>
      </c>
    </row>
    <row r="24" spans="1:5" ht="24" customHeight="1" x14ac:dyDescent="0.25">
      <c r="A24" s="17" t="s">
        <v>722</v>
      </c>
      <c r="B24" s="116"/>
      <c r="C24" s="113" t="s">
        <v>692</v>
      </c>
      <c r="D24" s="114" t="s">
        <v>723</v>
      </c>
      <c r="E24" s="115"/>
    </row>
    <row r="25" spans="1:5" ht="24" customHeight="1" x14ac:dyDescent="0.25">
      <c r="A25" s="17" t="s">
        <v>724</v>
      </c>
      <c r="B25" s="116"/>
      <c r="C25" s="113" t="s">
        <v>692</v>
      </c>
      <c r="D25" s="114" t="s">
        <v>723</v>
      </c>
      <c r="E25" s="115" t="s">
        <v>725</v>
      </c>
    </row>
    <row r="26" spans="1:5" ht="24" customHeight="1" x14ac:dyDescent="0.25">
      <c r="A26" s="17" t="s">
        <v>726</v>
      </c>
      <c r="B26" s="116"/>
      <c r="C26" s="113" t="s">
        <v>692</v>
      </c>
      <c r="D26" s="114" t="s">
        <v>727</v>
      </c>
      <c r="E26" s="115" t="s">
        <v>728</v>
      </c>
    </row>
    <row r="27" spans="1:5" ht="24" customHeight="1" x14ac:dyDescent="0.25">
      <c r="A27" s="17" t="s">
        <v>729</v>
      </c>
      <c r="B27" s="112"/>
      <c r="C27" s="113" t="s">
        <v>730</v>
      </c>
      <c r="D27" s="114" t="s">
        <v>723</v>
      </c>
      <c r="E27" s="115"/>
    </row>
    <row r="28" spans="1:5" ht="24" customHeight="1" x14ac:dyDescent="0.25">
      <c r="A28" s="17" t="s">
        <v>731</v>
      </c>
      <c r="B28" s="112"/>
      <c r="C28" s="113" t="s">
        <v>732</v>
      </c>
      <c r="D28" s="114" t="s">
        <v>682</v>
      </c>
      <c r="E28" s="115"/>
    </row>
    <row r="29" spans="1:5" ht="15.75" customHeight="1" x14ac:dyDescent="0.25">
      <c r="A29" s="130" t="s">
        <v>733</v>
      </c>
      <c r="B29" s="130"/>
      <c r="C29" s="130"/>
      <c r="D29" s="130"/>
      <c r="E29" s="130"/>
    </row>
    <row r="30" spans="1:5" ht="24" customHeight="1" x14ac:dyDescent="0.25">
      <c r="A30" s="17" t="s">
        <v>734</v>
      </c>
      <c r="B30" s="112"/>
      <c r="C30" s="113" t="s">
        <v>690</v>
      </c>
      <c r="D30" s="114" t="s">
        <v>682</v>
      </c>
      <c r="E30" s="115"/>
    </row>
    <row r="31" spans="1:5" ht="24" customHeight="1" x14ac:dyDescent="0.25">
      <c r="A31" s="17" t="s">
        <v>735</v>
      </c>
      <c r="B31" s="117"/>
      <c r="C31" s="113" t="s">
        <v>681</v>
      </c>
      <c r="D31" s="114" t="s">
        <v>682</v>
      </c>
      <c r="E31" s="115"/>
    </row>
    <row r="32" spans="1:5" ht="24" customHeight="1" x14ac:dyDescent="0.25">
      <c r="A32" s="17" t="s">
        <v>736</v>
      </c>
      <c r="B32" s="116"/>
      <c r="C32" s="113" t="s">
        <v>692</v>
      </c>
      <c r="D32" s="114" t="s">
        <v>737</v>
      </c>
      <c r="E32" s="115" t="s">
        <v>738</v>
      </c>
    </row>
    <row r="33" spans="1:5" ht="24" customHeight="1" x14ac:dyDescent="0.25">
      <c r="A33" s="17" t="s">
        <v>739</v>
      </c>
      <c r="B33" s="112"/>
      <c r="C33" s="113" t="s">
        <v>730</v>
      </c>
      <c r="D33" s="114" t="s">
        <v>737</v>
      </c>
      <c r="E33" s="115"/>
    </row>
    <row r="34" spans="1:5" ht="15.75" customHeight="1" x14ac:dyDescent="0.25">
      <c r="A34" s="130" t="s">
        <v>740</v>
      </c>
      <c r="B34" s="130"/>
      <c r="C34" s="130"/>
      <c r="D34" s="130"/>
      <c r="E34" s="130"/>
    </row>
    <row r="35" spans="1:5" ht="24" customHeight="1" x14ac:dyDescent="0.25">
      <c r="A35" s="17" t="s">
        <v>741</v>
      </c>
      <c r="B35" s="116"/>
      <c r="C35" s="113" t="s">
        <v>692</v>
      </c>
      <c r="D35" s="114" t="s">
        <v>682</v>
      </c>
      <c r="E35" s="115" t="s">
        <v>742</v>
      </c>
    </row>
    <row r="36" spans="1:5" ht="24" customHeight="1" x14ac:dyDescent="0.25">
      <c r="A36" s="17" t="s">
        <v>743</v>
      </c>
      <c r="B36" s="117"/>
      <c r="C36" s="113" t="s">
        <v>681</v>
      </c>
      <c r="D36" s="114" t="s">
        <v>682</v>
      </c>
      <c r="E36" s="115"/>
    </row>
    <row r="37" spans="1:5" ht="24" customHeight="1" x14ac:dyDescent="0.25">
      <c r="A37" s="17" t="s">
        <v>744</v>
      </c>
      <c r="B37" s="116"/>
      <c r="C37" s="113" t="s">
        <v>692</v>
      </c>
      <c r="D37" s="114" t="s">
        <v>682</v>
      </c>
      <c r="E37" s="115" t="s">
        <v>745</v>
      </c>
    </row>
    <row r="38" spans="1:5" ht="15.75" customHeight="1" x14ac:dyDescent="0.25">
      <c r="A38" s="130" t="s">
        <v>746</v>
      </c>
      <c r="B38" s="130"/>
      <c r="C38" s="130"/>
      <c r="D38" s="130"/>
      <c r="E38" s="130"/>
    </row>
    <row r="39" spans="1:5" ht="24" customHeight="1" x14ac:dyDescent="0.25">
      <c r="A39" s="17" t="s">
        <v>747</v>
      </c>
      <c r="B39" s="112"/>
      <c r="C39" s="113" t="s">
        <v>690</v>
      </c>
      <c r="D39" s="114" t="s">
        <v>682</v>
      </c>
      <c r="E39" s="115" t="s">
        <v>748</v>
      </c>
    </row>
    <row r="40" spans="1:5" ht="24" customHeight="1" x14ac:dyDescent="0.25">
      <c r="A40" s="17" t="s">
        <v>749</v>
      </c>
      <c r="B40" s="116"/>
      <c r="C40" s="113" t="s">
        <v>692</v>
      </c>
      <c r="D40" s="114" t="s">
        <v>682</v>
      </c>
      <c r="E40" s="115"/>
    </row>
    <row r="41" spans="1:5" ht="24" customHeight="1" x14ac:dyDescent="0.25">
      <c r="A41" s="17" t="s">
        <v>750</v>
      </c>
      <c r="B41" s="116"/>
      <c r="C41" s="113" t="s">
        <v>692</v>
      </c>
      <c r="D41" s="114" t="s">
        <v>682</v>
      </c>
      <c r="E41" s="115"/>
    </row>
    <row r="42" spans="1:5" ht="24" customHeight="1" x14ac:dyDescent="0.25">
      <c r="A42" s="17" t="s">
        <v>751</v>
      </c>
      <c r="B42" s="112"/>
      <c r="C42" s="113" t="s">
        <v>752</v>
      </c>
      <c r="D42" s="114" t="s">
        <v>682</v>
      </c>
      <c r="E42" s="115"/>
    </row>
    <row r="43" spans="1:5" ht="24" customHeight="1" x14ac:dyDescent="0.25">
      <c r="A43" s="17" t="s">
        <v>753</v>
      </c>
      <c r="B43" s="116"/>
      <c r="C43" s="113" t="s">
        <v>692</v>
      </c>
      <c r="D43" s="114" t="s">
        <v>727</v>
      </c>
      <c r="E43" s="115" t="s">
        <v>754</v>
      </c>
    </row>
    <row r="44" spans="1:5" ht="15.75" customHeight="1" x14ac:dyDescent="0.25"/>
    <row r="45" spans="1:5" ht="15.75" customHeight="1" x14ac:dyDescent="0.25"/>
    <row r="46" spans="1:5" ht="15.75" customHeight="1" x14ac:dyDescent="0.25"/>
    <row r="47" spans="1:5" ht="15.75" customHeight="1" x14ac:dyDescent="0.25"/>
    <row r="48" spans="1: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7">
    <mergeCell ref="A34:E34"/>
    <mergeCell ref="A38:E38"/>
    <mergeCell ref="A1:E1"/>
    <mergeCell ref="A3:E3"/>
    <mergeCell ref="A16:E16"/>
    <mergeCell ref="A22:E22"/>
    <mergeCell ref="A29:E29"/>
  </mergeCells>
  <dataValidations count="2">
    <dataValidation type="list" allowBlank="1" sqref="B7 B30 B39" xr:uid="{00000000-0002-0000-0600-000000000000}">
      <formula1>"Sí,No"</formula1>
      <formula2>0</formula2>
    </dataValidation>
    <dataValidation type="list" allowBlank="1" sqref="B17" xr:uid="{00000000-0002-0000-0600-000001000000}">
      <formula1>"Compra directa,Ruta B (aporte),Mixto"</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182C"/>
  </sheetPr>
  <dimension ref="A1:D1000"/>
  <sheetViews>
    <sheetView showGridLines="0" zoomScaleNormal="100" workbookViewId="0">
      <selection sqref="A1:D1"/>
    </sheetView>
  </sheetViews>
  <sheetFormatPr baseColWidth="10" defaultColWidth="14.42578125" defaultRowHeight="15" x14ac:dyDescent="0.25"/>
  <cols>
    <col min="1" max="1" width="40" customWidth="1"/>
    <col min="2" max="2" width="20" customWidth="1"/>
    <col min="3" max="3" width="16" customWidth="1"/>
    <col min="4" max="4" width="52" customWidth="1"/>
    <col min="5" max="26" width="8.7109375" customWidth="1"/>
  </cols>
  <sheetData>
    <row r="1" spans="1:4" ht="15" customHeight="1" x14ac:dyDescent="0.25">
      <c r="A1" s="129" t="s">
        <v>755</v>
      </c>
      <c r="B1" s="129"/>
      <c r="C1" s="129"/>
      <c r="D1" s="129"/>
    </row>
    <row r="2" spans="1:4" ht="15" customHeight="1" x14ac:dyDescent="0.25">
      <c r="A2" s="12" t="s">
        <v>756</v>
      </c>
      <c r="B2" s="12"/>
      <c r="C2" s="12"/>
      <c r="D2" s="12"/>
    </row>
    <row r="3" spans="1:4" ht="15" customHeight="1" x14ac:dyDescent="0.25">
      <c r="A3" s="118" t="s">
        <v>757</v>
      </c>
      <c r="B3" s="119" t="s">
        <v>758</v>
      </c>
      <c r="C3" s="113" t="s">
        <v>759</v>
      </c>
      <c r="D3" s="115" t="s">
        <v>760</v>
      </c>
    </row>
    <row r="4" spans="1:4" ht="15" customHeight="1" x14ac:dyDescent="0.25">
      <c r="A4" s="118" t="s">
        <v>761</v>
      </c>
      <c r="B4" s="119" t="s">
        <v>762</v>
      </c>
      <c r="C4" s="113" t="s">
        <v>759</v>
      </c>
      <c r="D4" s="115" t="s">
        <v>760</v>
      </c>
    </row>
    <row r="5" spans="1:4" ht="15" customHeight="1" x14ac:dyDescent="0.25">
      <c r="A5" s="118" t="s">
        <v>763</v>
      </c>
      <c r="B5" s="119" t="s">
        <v>764</v>
      </c>
      <c r="C5" s="113"/>
      <c r="D5" s="115" t="s">
        <v>765</v>
      </c>
    </row>
    <row r="6" spans="1:4" ht="15" customHeight="1" x14ac:dyDescent="0.25">
      <c r="A6" s="118" t="s">
        <v>766</v>
      </c>
      <c r="B6" s="119" t="s">
        <v>767</v>
      </c>
      <c r="C6" s="113"/>
      <c r="D6" s="115" t="s">
        <v>768</v>
      </c>
    </row>
    <row r="8" spans="1:4" ht="15" customHeight="1" x14ac:dyDescent="0.25">
      <c r="A8" s="12" t="s">
        <v>769</v>
      </c>
      <c r="B8" s="12"/>
      <c r="C8" s="12"/>
      <c r="D8" s="12"/>
    </row>
    <row r="9" spans="1:4" ht="15" customHeight="1" x14ac:dyDescent="0.25">
      <c r="A9" s="118" t="s">
        <v>770</v>
      </c>
      <c r="B9" s="112" t="s">
        <v>771</v>
      </c>
      <c r="C9" s="131" t="s">
        <v>772</v>
      </c>
      <c r="D9" s="131"/>
    </row>
    <row r="10" spans="1:4" ht="15" customHeight="1" x14ac:dyDescent="0.25">
      <c r="A10" s="118" t="s">
        <v>726</v>
      </c>
      <c r="B10" s="112" t="s">
        <v>773</v>
      </c>
      <c r="C10" s="131" t="s">
        <v>774</v>
      </c>
      <c r="D10" s="131"/>
    </row>
    <row r="11" spans="1:4" ht="15" customHeight="1" x14ac:dyDescent="0.25">
      <c r="A11" s="118" t="s">
        <v>775</v>
      </c>
      <c r="B11" s="112" t="s">
        <v>776</v>
      </c>
      <c r="C11" s="131" t="s">
        <v>777</v>
      </c>
      <c r="D11" s="131"/>
    </row>
    <row r="12" spans="1:4" ht="15" customHeight="1" x14ac:dyDescent="0.25">
      <c r="A12" s="118" t="s">
        <v>753</v>
      </c>
      <c r="B12" s="112" t="s">
        <v>778</v>
      </c>
      <c r="C12" s="131" t="s">
        <v>779</v>
      </c>
      <c r="D12" s="131"/>
    </row>
    <row r="13" spans="1:4" ht="15" customHeight="1" x14ac:dyDescent="0.25">
      <c r="A13" s="118" t="s">
        <v>780</v>
      </c>
      <c r="B13" s="112" t="s">
        <v>781</v>
      </c>
      <c r="C13" s="131" t="s">
        <v>782</v>
      </c>
      <c r="D13" s="131"/>
    </row>
    <row r="14" spans="1:4" ht="15" customHeight="1" x14ac:dyDescent="0.25">
      <c r="A14" s="118" t="s">
        <v>783</v>
      </c>
      <c r="B14" s="112" t="s">
        <v>784</v>
      </c>
      <c r="C14" s="131" t="s">
        <v>785</v>
      </c>
      <c r="D14" s="131"/>
    </row>
    <row r="16" spans="1:4" ht="15" customHeight="1" x14ac:dyDescent="0.25">
      <c r="A16" s="12" t="s">
        <v>786</v>
      </c>
      <c r="B16" s="12"/>
      <c r="C16" s="12"/>
      <c r="D16" s="12"/>
    </row>
    <row r="17" spans="1:4" ht="33.75" customHeight="1" x14ac:dyDescent="0.25">
      <c r="A17" s="120" t="s">
        <v>787</v>
      </c>
      <c r="B17" s="132" t="s">
        <v>788</v>
      </c>
      <c r="C17" s="132"/>
      <c r="D17" s="132"/>
    </row>
    <row r="18" spans="1:4" ht="33.75" customHeight="1" x14ac:dyDescent="0.25">
      <c r="A18" s="120" t="s">
        <v>789</v>
      </c>
      <c r="B18" s="132" t="s">
        <v>790</v>
      </c>
      <c r="C18" s="132"/>
      <c r="D18" s="132"/>
    </row>
    <row r="19" spans="1:4" ht="33.75" customHeight="1" x14ac:dyDescent="0.25">
      <c r="A19" s="120" t="s">
        <v>791</v>
      </c>
      <c r="B19" s="132" t="s">
        <v>792</v>
      </c>
      <c r="C19" s="132"/>
      <c r="D19" s="132"/>
    </row>
    <row r="20" spans="1:4" ht="33.75" customHeight="1" x14ac:dyDescent="0.25">
      <c r="A20" s="120" t="s">
        <v>793</v>
      </c>
      <c r="B20" s="132" t="s">
        <v>794</v>
      </c>
      <c r="C20" s="132"/>
      <c r="D20" s="132"/>
    </row>
    <row r="21" spans="1:4" ht="33.75" customHeight="1" x14ac:dyDescent="0.25">
      <c r="A21" s="120" t="s">
        <v>795</v>
      </c>
      <c r="B21" s="132" t="s">
        <v>796</v>
      </c>
      <c r="C21" s="132"/>
      <c r="D21" s="132"/>
    </row>
    <row r="22" spans="1:4" ht="33.75" customHeight="1" x14ac:dyDescent="0.25">
      <c r="A22" s="120" t="s">
        <v>797</v>
      </c>
      <c r="B22" s="132" t="s">
        <v>798</v>
      </c>
      <c r="C22" s="132"/>
      <c r="D22" s="132"/>
    </row>
    <row r="23" spans="1:4" ht="15.75" customHeight="1" x14ac:dyDescent="0.25"/>
    <row r="24" spans="1:4" ht="27.75" customHeight="1" x14ac:dyDescent="0.25">
      <c r="A24" s="133" t="s">
        <v>799</v>
      </c>
      <c r="B24" s="133"/>
      <c r="C24" s="133"/>
      <c r="D24" s="133"/>
    </row>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7">
    <mergeCell ref="B22:D22"/>
    <mergeCell ref="A24:D24"/>
    <mergeCell ref="B17:D17"/>
    <mergeCell ref="B18:D18"/>
    <mergeCell ref="B19:D19"/>
    <mergeCell ref="B20:D20"/>
    <mergeCell ref="B21:D21"/>
    <mergeCell ref="C11:D11"/>
    <mergeCell ref="C12:D12"/>
    <mergeCell ref="C13:D13"/>
    <mergeCell ref="C14:D14"/>
    <mergeCell ref="A16:D16"/>
    <mergeCell ref="A1:D1"/>
    <mergeCell ref="A2:D2"/>
    <mergeCell ref="A8:D8"/>
    <mergeCell ref="C9:D9"/>
    <mergeCell ref="C10:D10"/>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Precios</vt:lpstr>
      <vt:lpstr>Instrucciones</vt:lpstr>
      <vt:lpstr>Tipologias</vt:lpstr>
      <vt:lpstr>Unidades</vt:lpstr>
      <vt:lpstr>Lotes</vt:lpstr>
      <vt:lpstr>Precios_v2</vt:lpstr>
      <vt:lpstr>Datos_Landmass</vt:lpstr>
      <vt:lpstr>Supuestos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Miguel Perez</cp:lastModifiedBy>
  <cp:revision>0</cp:revision>
  <dcterms:created xsi:type="dcterms:W3CDTF">2026-06-13T20:04:15Z</dcterms:created>
  <dcterms:modified xsi:type="dcterms:W3CDTF">2026-09-22T12:46:03Z</dcterms:modified>
  <dc:language>en-US</dc:language>
</cp:coreProperties>
</file>